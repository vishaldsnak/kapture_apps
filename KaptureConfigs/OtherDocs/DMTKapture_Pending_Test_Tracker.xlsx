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ing Tes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xternal Dependencies" sheetId="3" state="visible" r:id="rId3"/>
    <sheet xmlns:r="http://schemas.openxmlformats.org/officeDocument/2006/relationships" name="Open Decisions" sheetId="4" state="visible" r:id="rId4"/>
    <sheet xmlns:r="http://schemas.openxmlformats.org/officeDocument/2006/relationships" name="Closed (reference)" sheetId="5" state="visible" r:id="rId5"/>
    <sheet xmlns:r="http://schemas.openxmlformats.org/officeDocument/2006/relationships" name="Legend" sheetId="6" state="visible" r:id="rId6"/>
  </sheets>
  <definedNames>
    <definedName name="_xlnm._FilterDatabase" localSheetId="0" hidden="1">'Pending Tests'!$A$1:$N$40</definedName>
    <definedName name="_xlnm._FilterDatabase" localSheetId="2" hidden="1">'External Dependencies'!$A$1:$E$8</definedName>
    <definedName name="_xlnm._FilterDatabase" localSheetId="3" hidden="1">'Open Decisions'!$A$1:$C$4</definedName>
    <definedName name="_xlnm._FilterDatabase" localSheetId="4" hidden="1">'Closed (reference)'!$A$1:$D$9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2" borderId="1" pivotButton="0" quotePrefix="0" xfId="0"/>
    <xf numFmtId="0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34" customWidth="1" min="4" max="4"/>
    <col width="38" customWidth="1" min="5" max="5"/>
    <col width="42" customWidth="1" min="6" max="6"/>
    <col width="46" customWidth="1" min="7" max="7"/>
    <col width="10" customWidth="1" min="8" max="8"/>
    <col width="24" customWidth="1" min="9" max="9"/>
    <col width="9" customWidth="1" min="10" max="10"/>
    <col width="13" customWidth="1" min="11" max="11"/>
    <col width="18" customWidth="1" min="12" max="12"/>
    <col width="12" customWidth="1" min="13" max="13"/>
    <col width="30" customWidth="1" min="14" max="14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Market</t>
        </is>
      </c>
      <c r="D1" s="1" t="inlineStr">
        <is>
          <t>Test</t>
        </is>
      </c>
      <c r="E1" s="1" t="inlineStr">
        <is>
          <t>Why it is pending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Environment</t>
        </is>
      </c>
      <c r="I1" s="1" t="inlineStr">
        <is>
          <t>Depends on</t>
        </is>
      </c>
      <c r="J1" s="1" t="inlineStr">
        <is>
          <t>Priority</t>
        </is>
      </c>
      <c r="K1" s="1" t="inlineStr">
        <is>
          <t>Status</t>
        </is>
      </c>
      <c r="L1" s="1" t="inlineStr">
        <is>
          <t>Job ID / Evidence</t>
        </is>
      </c>
      <c r="M1" s="1" t="inlineStr">
        <is>
          <t>Tested on</t>
        </is>
      </c>
      <c r="N1" s="1" t="inlineStr">
        <is>
          <t>Remarks</t>
        </is>
      </c>
    </row>
    <row r="2">
      <c r="A2" s="2" t="inlineStr">
        <is>
          <t>T01</t>
        </is>
      </c>
      <c r="B2" s="2" t="inlineStr">
        <is>
          <t>Master Data with Content</t>
        </is>
      </c>
      <c r="C2" s="2" t="inlineStr">
        <is>
          <t>MNAO</t>
        </is>
      </c>
      <c r="D2" s="2" t="inlineStr">
        <is>
          <t>en-CA companion locale - files present</t>
        </is>
      </c>
      <c r="E2" s="2" t="inlineStr">
        <is>
          <t>New 2026-10-11: an en-US schedule also processes en-CA (masterdata.companion.locales). Built, not yet run.</t>
        </is>
      </c>
      <c r="F2" s="2" t="inlineStr">
        <is>
          <t>1. Put CA_EN-CA_&lt;type&gt;.xlsx files next to the en-US files in the MDM folder.
2. Schedule MNAO en-US with Master Data with Content.</t>
        </is>
      </c>
      <c r="G2" s="2" t="inlineStr">
        <is>
          <t>MASTER_DATA_LOAD_REPORT lists en-CA rows; MASTER_DATA_CATEGORY_REPORT lists en_CA categories; en-CA MDM rows end with sync status Y; log shows 'companion locale en-CA processed too'.</t>
        </is>
      </c>
      <c r="H2" s="2" t="inlineStr">
        <is>
          <t>MC Dev</t>
        </is>
      </c>
      <c r="I2" s="2" t="inlineStr">
        <is>
          <t>MDM country CA / manual language en-CA active</t>
        </is>
      </c>
      <c r="J2" s="2" t="inlineStr">
        <is>
          <t>High</t>
        </is>
      </c>
      <c r="K2" s="2" t="inlineStr">
        <is>
          <t>Pending</t>
        </is>
      </c>
      <c r="L2" s="2" t="inlineStr"/>
      <c r="M2" s="2" t="inlineStr"/>
      <c r="N2" s="2" t="inlineStr"/>
    </row>
    <row r="3">
      <c r="A3" s="2" t="inlineStr">
        <is>
          <t>T02</t>
        </is>
      </c>
      <c r="B3" s="2" t="inlineStr">
        <is>
          <t>Master Data with Content</t>
        </is>
      </c>
      <c r="C3" s="2" t="inlineStr">
        <is>
          <t>MNAO</t>
        </is>
      </c>
      <c r="D3" s="2" t="inlineStr">
        <is>
          <t>en-CA companion locale - no en-CA file</t>
        </is>
      </c>
      <c r="E3" s="2" t="inlineStr">
        <is>
          <t>New 2026-10-11: a missing en-CA file must not fail the job.</t>
        </is>
      </c>
      <c r="F3" s="2" t="inlineStr">
        <is>
          <t>Schedule MNAO en-US with Master Data with Content, MDM folder WITHOUT CA_EN-CA files.</t>
        </is>
      </c>
      <c r="G3" s="2" t="inlineStr">
        <is>
          <t>No 'No master data file found' row for en-CA; log line 'companion locale en-CA :: no master data file'; en-CA rows already at N are sent to Kapture.</t>
        </is>
      </c>
      <c r="H3" s="2" t="inlineStr">
        <is>
          <t>MC Dev</t>
        </is>
      </c>
      <c r="I3" s="2" t="inlineStr">
        <is>
          <t>-</t>
        </is>
      </c>
      <c r="J3" s="2" t="inlineStr">
        <is>
          <t>High</t>
        </is>
      </c>
      <c r="K3" s="2" t="inlineStr">
        <is>
          <t>Pending</t>
        </is>
      </c>
      <c r="L3" s="2" t="inlineStr"/>
      <c r="M3" s="2" t="inlineStr"/>
      <c r="N3" s="2" t="inlineStr"/>
    </row>
    <row r="4">
      <c r="A4" s="2" t="inlineStr">
        <is>
          <t>T03</t>
        </is>
      </c>
      <c r="B4" s="2" t="inlineStr">
        <is>
          <t>Schedule - Only content check</t>
        </is>
      </c>
      <c r="C4" s="2" t="inlineStr">
        <is>
          <t>MNAO</t>
        </is>
      </c>
      <c r="D4" s="2" t="inlineStr">
        <is>
          <t>Only content warning counts en-CA</t>
        </is>
      </c>
      <c r="E4" s="2" t="inlineStr">
        <is>
          <t>New 2026-10-11: the check now covers the companion locale.</t>
        </is>
      </c>
      <c r="F4" s="2" t="inlineStr">
        <is>
          <t>1. Leave at least one en-CA MDM row at sync status N.
2. Schedule MNAO en-US with Only content.</t>
        </is>
      </c>
      <c r="G4" s="2" t="inlineStr">
        <is>
          <t>Warning appears and names 'locale en-US, en-CA'. With no N rows in en-US / en-CA: no warning.</t>
        </is>
      </c>
      <c r="H4" s="2" t="inlineStr">
        <is>
          <t>MC Dev</t>
        </is>
      </c>
      <c r="I4" s="2" t="inlineStr">
        <is>
          <t>-</t>
        </is>
      </c>
      <c r="J4" s="2" t="inlineStr">
        <is>
          <t>Medium</t>
        </is>
      </c>
      <c r="K4" s="2" t="inlineStr">
        <is>
          <t>Pending</t>
        </is>
      </c>
      <c r="L4" s="2" t="inlineStr"/>
      <c r="M4" s="2" t="inlineStr"/>
      <c r="N4" s="2" t="inlineStr"/>
    </row>
    <row r="5">
      <c r="A5" s="2" t="inlineStr">
        <is>
          <t>T04</t>
        </is>
      </c>
      <c r="B5" s="2" t="inlineStr">
        <is>
          <t>Conversion re-test</t>
        </is>
      </c>
      <c r="C5" s="2" t="inlineStr">
        <is>
          <t>MC</t>
        </is>
      </c>
      <c r="D5" s="2" t="inlineStr">
        <is>
          <t>MC conversion on the current dmtgt.war with Master Data with Content</t>
        </is>
      </c>
      <c r="E5" s="2" t="inlineStr">
        <is>
          <t>2026-10-10 category changes (DB mode, all-locales fill, last-row label rule) re-tested for MNAO only.</t>
        </is>
      </c>
      <c r="F5" s="2" t="inlineStr">
        <is>
          <t>Schedule MC ja-JP with Master Data with Content (e-WD / WM sample).</t>
        </is>
      </c>
      <c r="G5" s="2" t="inlineStr">
        <is>
          <t>Categories written in DB mode (no Kapture login for categories); new categories present in all k_default_locales; no label UPDATED for keys Master Data Syncing already set; documents created/updated as before.</t>
        </is>
      </c>
      <c r="H5" s="2" t="inlineStr">
        <is>
          <t>MC Dev</t>
        </is>
      </c>
      <c r="I5" s="2" t="inlineStr">
        <is>
          <t>-</t>
        </is>
      </c>
      <c r="J5" s="2" t="inlineStr">
        <is>
          <t>High</t>
        </is>
      </c>
      <c r="K5" s="2" t="inlineStr">
        <is>
          <t>Pending</t>
        </is>
      </c>
      <c r="L5" s="2" t="inlineStr"/>
      <c r="M5" s="2" t="inlineStr"/>
      <c r="N5" s="2" t="inlineStr"/>
    </row>
    <row r="6">
      <c r="A6" s="2" t="inlineStr">
        <is>
          <t>T05</t>
        </is>
      </c>
      <c r="B6" s="2" t="inlineStr">
        <is>
          <t>Conversion re-test</t>
        </is>
      </c>
      <c r="C6" s="2" t="inlineStr">
        <is>
          <t>MME</t>
        </is>
      </c>
      <c r="D6" s="2" t="inlineStr">
        <is>
          <t>MME conversion on the current dmtgt.war with Master Data with Content</t>
        </is>
      </c>
      <c r="E6" s="2" t="inlineStr">
        <is>
          <t>Same as T04 - MME not re-tested since 2026-10-10.</t>
        </is>
      </c>
      <c r="F6" s="2" t="inlineStr">
        <is>
          <t>Schedule MME (e.g. en-UK / de-DE) with Master Data with Content.</t>
        </is>
      </c>
      <c r="G6" s="2" t="inlineStr">
        <is>
          <t>As T04 for the MME locale.</t>
        </is>
      </c>
      <c r="H6" s="2" t="inlineStr">
        <is>
          <t>MC Dev</t>
        </is>
      </c>
      <c r="I6" s="2" t="inlineStr">
        <is>
          <t>-</t>
        </is>
      </c>
      <c r="J6" s="2" t="inlineStr">
        <is>
          <t>High</t>
        </is>
      </c>
      <c r="K6" s="2" t="inlineStr">
        <is>
          <t>Pending</t>
        </is>
      </c>
      <c r="L6" s="2" t="inlineStr"/>
      <c r="M6" s="2" t="inlineStr"/>
      <c r="N6" s="2" t="inlineStr"/>
    </row>
    <row r="7">
      <c r="A7" s="2" t="inlineStr">
        <is>
          <t>T06</t>
        </is>
      </c>
      <c r="B7" s="2" t="inlineStr">
        <is>
          <t>Schedule - Only content check</t>
        </is>
      </c>
      <c r="C7" s="2" t="inlineStr">
        <is>
          <t>MC / MME</t>
        </is>
      </c>
      <c r="D7" s="2" t="inlineStr">
        <is>
          <t>Only content warning per selected locale</t>
        </is>
      </c>
      <c r="E7" s="2" t="inlineStr">
        <is>
          <t>Per-locale check verified for MNAO only (5694).</t>
        </is>
      </c>
      <c r="F7" s="2" t="inlineStr">
        <is>
          <t>1. Leave N rows in a locale that is NOT selected.
2. Schedule MC / MME with Only content for another locale.</t>
        </is>
      </c>
      <c r="G7" s="2" t="inlineStr">
        <is>
          <t>No warning for rows of the other locale; warning when the selected locale has N rows, message shows the locale.</t>
        </is>
      </c>
      <c r="H7" s="2" t="inlineStr">
        <is>
          <t>MC Dev</t>
        </is>
      </c>
      <c r="I7" s="2" t="inlineStr">
        <is>
          <t>-</t>
        </is>
      </c>
      <c r="J7" s="2" t="inlineStr">
        <is>
          <t>Medium</t>
        </is>
      </c>
      <c r="K7" s="2" t="inlineStr">
        <is>
          <t>Pending</t>
        </is>
      </c>
      <c r="L7" s="2" t="inlineStr"/>
      <c r="M7" s="2" t="inlineStr"/>
      <c r="N7" s="2" t="inlineStr"/>
    </row>
    <row r="8">
      <c r="A8" s="2" t="inlineStr">
        <is>
          <t>T07</t>
        </is>
      </c>
      <c r="B8" s="2" t="inlineStr">
        <is>
          <t>Conversion - ESI</t>
        </is>
      </c>
      <c r="C8" s="2" t="inlineStr">
        <is>
          <t>MC</t>
        </is>
      </c>
      <c r="D8" s="2" t="inlineStr">
        <is>
          <t>ESI category mapping end to end</t>
        </is>
      </c>
      <c r="E8" s="2" t="inlineStr">
        <is>
          <t>Test esicat.txt used on MC Dev had 5-field lines (no ESI codes) - ESI path not proven for MC.</t>
        </is>
      </c>
      <c r="F8" s="2" t="inlineStr">
        <is>
          <t>Run an MC job whose esicat.txt carries ESI codes (8 fields, e.g. 04||041100||00).</t>
        </is>
      </c>
      <c r="G8" s="2" t="inlineStr">
        <is>
          <t>ESI TAXONOMY / MAPPED filled in the reports; documents tagged with the ESI categories in Kapture.</t>
        </is>
      </c>
      <c r="H8" s="2" t="inlineStr">
        <is>
          <t>MC Dev</t>
        </is>
      </c>
      <c r="I8" s="2" t="inlineStr">
        <is>
          <t>Business sample with ESI codes</t>
        </is>
      </c>
      <c r="J8" s="2" t="inlineStr">
        <is>
          <t>Medium</t>
        </is>
      </c>
      <c r="K8" s="2" t="inlineStr">
        <is>
          <t>Pending</t>
        </is>
      </c>
      <c r="L8" s="2" t="inlineStr"/>
      <c r="M8" s="2" t="inlineStr"/>
      <c r="N8" s="2" t="inlineStr"/>
    </row>
    <row r="9">
      <c r="A9" s="2" t="inlineStr">
        <is>
          <t>T08</t>
        </is>
      </c>
      <c r="B9" s="2" t="inlineStr">
        <is>
          <t>Preview</t>
        </is>
      </c>
      <c r="C9" s="2" t="inlineStr">
        <is>
          <t>MC</t>
        </is>
      </c>
      <c r="D9" s="2" t="inlineStr">
        <is>
          <t>WD HTML_MC / HTML5 file documents in Preview</t>
        </is>
      </c>
      <c r="E9" s="2" t="inlineStr">
        <is>
          <t>No sample content of that type so far.</t>
        </is>
      </c>
      <c r="F9" s="2" t="inlineStr">
        <is>
          <t>Convert a WD HTML_MC / HTML5 item, open the Preview page.</t>
        </is>
      </c>
      <c r="G9" s="2" t="inlineStr">
        <is>
          <t>Pages render with their own model folder; voltage / window.open links work.</t>
        </is>
      </c>
      <c r="H9" s="2" t="inlineStr">
        <is>
          <t>MC Dev</t>
        </is>
      </c>
      <c r="I9" s="2" t="inlineStr">
        <is>
          <t>Business sample</t>
        </is>
      </c>
      <c r="J9" s="2" t="inlineStr">
        <is>
          <t>Low</t>
        </is>
      </c>
      <c r="K9" s="2" t="inlineStr">
        <is>
          <t>Pending</t>
        </is>
      </c>
      <c r="L9" s="2" t="inlineStr"/>
      <c r="M9" s="2" t="inlineStr"/>
      <c r="N9" s="2" t="inlineStr"/>
    </row>
    <row r="10">
      <c r="A10" s="2" t="inlineStr">
        <is>
          <t>T09</t>
        </is>
      </c>
      <c r="B10" s="2" t="inlineStr">
        <is>
          <t>Preview</t>
        </is>
      </c>
      <c r="C10" s="2" t="inlineStr">
        <is>
          <t>All</t>
        </is>
      </c>
      <c r="D10" s="2" t="inlineStr">
        <is>
          <t>PDF inline display in Chrome</t>
        </is>
      </c>
      <c r="E10" s="2" t="inlineStr">
        <is>
          <t>Proven offline only.</t>
        </is>
      </c>
      <c r="F10" s="2" t="inlineStr">
        <is>
          <t>Open a PDF document in the Preview page in Chrome.</t>
        </is>
      </c>
      <c r="G10" s="2" t="inlineStr">
        <is>
          <t>PDF shows inline in the right pane.</t>
        </is>
      </c>
      <c r="H10" s="2" t="inlineStr">
        <is>
          <t>MC Dev</t>
        </is>
      </c>
      <c r="I10" s="2" t="inlineStr">
        <is>
          <t>-</t>
        </is>
      </c>
      <c r="J10" s="2" t="inlineStr">
        <is>
          <t>Low</t>
        </is>
      </c>
      <c r="K10" s="2" t="inlineStr">
        <is>
          <t>Pending</t>
        </is>
      </c>
      <c r="L10" s="2" t="inlineStr"/>
      <c r="M10" s="2" t="inlineStr"/>
      <c r="N10" s="2" t="inlineStr"/>
    </row>
    <row r="11">
      <c r="A11" s="2" t="inlineStr">
        <is>
          <t>T10</t>
        </is>
      </c>
      <c r="B11" s="2" t="inlineStr">
        <is>
          <t>Conversion - WD</t>
        </is>
      </c>
      <c r="C11" s="2" t="inlineStr">
        <is>
          <t>MME</t>
        </is>
      </c>
      <c r="D11" s="2" t="inlineStr">
        <is>
          <t>WD voltage links resolve</t>
        </is>
      </c>
      <c r="E11" s="2" t="inlineStr">
        <is>
          <t>84 links unresolved in 5617 because their targets were not loaded.</t>
        </is>
      </c>
      <c r="F11" s="2" t="inlineStr">
        <is>
          <t>Load NewM_CX-5_km/WM/FL0000/E-WZE-69P1_XML, re-run the WD item.</t>
        </is>
      </c>
      <c r="G11" s="2" t="inlineStr">
        <is>
          <t>Voltage links resolve; no 'unresolved' lines for them.</t>
        </is>
      </c>
      <c r="H11" s="2" t="inlineStr">
        <is>
          <t>MC Dev</t>
        </is>
      </c>
      <c r="I11" s="2" t="inlineStr">
        <is>
          <t>Target content loaded</t>
        </is>
      </c>
      <c r="J11" s="2" t="inlineStr">
        <is>
          <t>Low</t>
        </is>
      </c>
      <c r="K11" s="2" t="inlineStr">
        <is>
          <t>Pending</t>
        </is>
      </c>
      <c r="L11" s="2" t="inlineStr"/>
      <c r="M11" s="2" t="inlineStr"/>
      <c r="N11" s="2" t="inlineStr"/>
    </row>
    <row r="12">
      <c r="A12" s="2" t="inlineStr">
        <is>
          <t>T11</t>
        </is>
      </c>
      <c r="B12" s="2" t="inlineStr">
        <is>
          <t>Conversion - WM</t>
        </is>
      </c>
      <c r="C12" s="2" t="inlineStr">
        <is>
          <t>MME</t>
        </is>
      </c>
      <c r="D12" s="2" t="inlineStr">
        <is>
          <t>BT-50 WM full volume (5,214 docs)</t>
        </is>
      </c>
      <c r="E12" s="2" t="inlineStr">
        <is>
          <t>Only partial volumes run so far.</t>
        </is>
      </c>
      <c r="F12" s="2" t="inlineStr">
        <is>
          <t>Schedule the full BT-50 WM item.</t>
        </is>
      </c>
      <c r="G12" s="2" t="inlineStr">
        <is>
          <t>Job completes; timings and failures in line with earlier runs.</t>
        </is>
      </c>
      <c r="H12" s="2" t="inlineStr">
        <is>
          <t>MC Dev</t>
        </is>
      </c>
      <c r="I12" s="2" t="inlineStr">
        <is>
          <t>-</t>
        </is>
      </c>
      <c r="J12" s="2" t="inlineStr">
        <is>
          <t>Low</t>
        </is>
      </c>
      <c r="K12" s="2" t="inlineStr">
        <is>
          <t>Pending</t>
        </is>
      </c>
      <c r="L12" s="2" t="inlineStr"/>
      <c r="M12" s="2" t="inlineStr"/>
      <c r="N12" s="2" t="inlineStr"/>
    </row>
    <row r="13">
      <c r="A13" s="2" t="inlineStr">
        <is>
          <t>T12</t>
        </is>
      </c>
      <c r="B13" s="2" t="inlineStr">
        <is>
          <t>Conversion - WD</t>
        </is>
      </c>
      <c r="C13" s="2" t="inlineStr">
        <is>
          <t>MME</t>
        </is>
      </c>
      <c r="D13" s="2" t="inlineStr">
        <is>
          <t>window.js handling</t>
        </is>
      </c>
      <c r="E13" s="2" t="inlineStr">
        <is>
          <t>No MME sample with window.js yet.</t>
        </is>
      </c>
      <c r="F13" s="2" t="inlineStr">
        <is>
          <t>Run an MME item that carries window.js.</t>
        </is>
      </c>
      <c r="G13" s="2" t="inlineStr">
        <is>
          <t>window.js copied to OKAssets with /content/library prefix (MC rule).</t>
        </is>
      </c>
      <c r="H13" s="2" t="inlineStr">
        <is>
          <t>MC Dev</t>
        </is>
      </c>
      <c r="I13" s="2" t="inlineStr">
        <is>
          <t>Business sample</t>
        </is>
      </c>
      <c r="J13" s="2" t="inlineStr">
        <is>
          <t>Low</t>
        </is>
      </c>
      <c r="K13" s="2" t="inlineStr">
        <is>
          <t>Pending</t>
        </is>
      </c>
      <c r="L13" s="2" t="inlineStr"/>
      <c r="M13" s="2" t="inlineStr"/>
      <c r="N13" s="2" t="inlineStr"/>
    </row>
    <row r="14">
      <c r="A14" s="2" t="inlineStr">
        <is>
          <t>T13</t>
        </is>
      </c>
      <c r="B14" s="2" t="inlineStr">
        <is>
          <t>History</t>
        </is>
      </c>
      <c r="C14" s="2" t="inlineStr">
        <is>
          <t>MME / MNAO</t>
        </is>
      </c>
      <c r="D14" s="2" t="inlineStr">
        <is>
          <t>Late-day job visible in History</t>
        </is>
      </c>
      <c r="E14" s="2" t="inlineStr">
        <is>
          <t>Date filter fix (9 h timestamp shift) verified for MC only.</t>
        </is>
      </c>
      <c r="F14" s="2" t="inlineStr">
        <is>
          <t>Run an MME / MNAO job late in the day, filter History by today.</t>
        </is>
      </c>
      <c r="G14" s="2" t="inlineStr">
        <is>
          <t>Job listed.</t>
        </is>
      </c>
      <c r="H14" s="2" t="inlineStr">
        <is>
          <t>MC Dev</t>
        </is>
      </c>
      <c r="I14" s="2" t="inlineStr">
        <is>
          <t>-</t>
        </is>
      </c>
      <c r="J14" s="2" t="inlineStr">
        <is>
          <t>Low</t>
        </is>
      </c>
      <c r="K14" s="2" t="inlineStr">
        <is>
          <t>Pending</t>
        </is>
      </c>
      <c r="L14" s="2" t="inlineStr"/>
      <c r="M14" s="2" t="inlineStr"/>
      <c r="N14" s="2" t="inlineStr"/>
    </row>
    <row r="15">
      <c r="A15" s="2" t="inlineStr">
        <is>
          <t>T14</t>
        </is>
      </c>
      <c r="B15" s="2" t="inlineStr">
        <is>
          <t>File behaviour</t>
        </is>
      </c>
      <c r="C15" s="2" t="inlineStr">
        <is>
          <t>All</t>
        </is>
      </c>
      <c r="D15" s="2" t="inlineStr">
        <is>
          <t>Re-check file-based behaviour after Syncthing</t>
        </is>
      </c>
      <c r="E15" s="2" t="inlineStr">
        <is>
          <t>rsync on /s3kapture brings deleted files back (preview.json, preview folders, reports, OKAssets).</t>
        </is>
      </c>
      <c r="F15" s="2" t="inlineStr">
        <is>
          <t>After Infra moves to Syncthing: run a delete job and a publish.</t>
        </is>
      </c>
      <c r="G15" s="2" t="inlineStr">
        <is>
          <t>Deleted preview docs stay gone from the earlier job's Preview page; report xlsx stay deleted after zipping; OKAssets deletes stay deleted. DB results unchanged (Delete counts, Kapture unpublished, preview_docs DELETED).</t>
        </is>
      </c>
      <c r="H15" s="2" t="inlineStr">
        <is>
          <t>MC Dev</t>
        </is>
      </c>
      <c r="I15" s="2" t="inlineStr">
        <is>
          <t>Infra: Syncthing live</t>
        </is>
      </c>
      <c r="J15" s="2" t="inlineStr">
        <is>
          <t>Medium</t>
        </is>
      </c>
      <c r="K15" s="2" t="inlineStr">
        <is>
          <t>Blocked</t>
        </is>
      </c>
      <c r="L15" s="2" t="inlineStr"/>
      <c r="M15" s="2" t="inlineStr"/>
      <c r="N15" s="2" t="inlineStr"/>
    </row>
    <row r="16">
      <c r="A16" s="2" t="inlineStr">
        <is>
          <t>T15</t>
        </is>
      </c>
      <c r="B16" s="2" t="inlineStr">
        <is>
          <t>Automation (Facelift)</t>
        </is>
      </c>
      <c r="C16" s="2" t="inlineStr">
        <is>
          <t>MC</t>
        </is>
      </c>
      <c r="D16" s="2" t="inlineStr">
        <is>
          <t>IPM Facelift VIN Update end to end - Only Facelift</t>
        </is>
      </c>
      <c r="E16" s="2" t="inlineStr">
        <is>
          <t>Built 2026-10-11: InfoManager replaced by Kapture (read latest article, swap only the VIN categories, update, publish).</t>
        </is>
      </c>
      <c r="F16" s="2" t="inlineStr">
        <is>
          <t>1. Put a ja_JP facelift Excel (11 columns) in Facelift_Content.
2. Validate Data, Identify, then select items and schedule with Only Facelift.</t>
        </is>
      </c>
      <c r="G16" s="2" t="inlineStr">
        <is>
          <t>Impacted SM / OSM / WD docs found; in Kapture only the old VIN categories are replaced by the new ones (other categories, user groups, views, owner unchanged); gms3_vc_japan_vin_details rows carry the new VIN + carline / model names; processed / failed counts and reports correct.</t>
        </is>
      </c>
      <c r="H16" s="2" t="inlineStr">
        <is>
          <t>MC Dev</t>
        </is>
      </c>
      <c r="I16" s="2" t="inlineStr">
        <is>
          <t>-</t>
        </is>
      </c>
      <c r="J16" s="2" t="inlineStr">
        <is>
          <t>High</t>
        </is>
      </c>
      <c r="K16" s="2" t="inlineStr">
        <is>
          <t>Passed</t>
        </is>
      </c>
      <c r="L16" s="2" t="inlineStr">
        <is>
          <t>MC Dev 5708 / 5715</t>
        </is>
      </c>
      <c r="M16" s="2" t="inlineStr">
        <is>
          <t>2026-10-12</t>
        </is>
      </c>
      <c r="N16" s="2" t="inlineStr">
        <is>
          <t>ja-JP WD CX-5 (KM), 820 docs, 0 failures both runs (5708 Master Data with Facelift, 5715 Only Facelift); VINs swapped in Kapture + gms3_vc_japan_vin_details (user checked WD25070 / WD28673); no VIN manual type report for MC (5715).</t>
        </is>
      </c>
    </row>
    <row r="17">
      <c r="A17" s="2" t="inlineStr">
        <is>
          <t>T16</t>
        </is>
      </c>
      <c r="B17" s="2" t="inlineStr">
        <is>
          <t>Automation (Facelift)</t>
        </is>
      </c>
      <c r="C17" s="2" t="inlineStr">
        <is>
          <t>MME</t>
        </is>
      </c>
      <c r="D17" s="2" t="inlineStr">
        <is>
          <t>IPM Facelift VIN Update end to end - Only Facelift</t>
        </is>
      </c>
      <c r="E17" s="2" t="inlineStr">
        <is>
          <t>As T15; MME view content table now lowercase (gms3_vc_mme_vin_dtl_&lt;locale&gt;).</t>
        </is>
      </c>
      <c r="F17" s="2" t="inlineStr">
        <is>
          <t>As T15 with an MME locale (e.g. en_UK) in the Excel.</t>
        </is>
      </c>
      <c r="G17" s="2" t="inlineStr">
        <is>
          <t>As T15 on gms3_vc_mme_vin_dtl_&lt;locale&gt;; gms3_mdm_vin_ml_mapping updated; MME VIN manual type mapping report in the zip.</t>
        </is>
      </c>
      <c r="H17" s="2" t="inlineStr">
        <is>
          <t>MC Dev</t>
        </is>
      </c>
      <c r="I17" s="2" t="inlineStr">
        <is>
          <t>-</t>
        </is>
      </c>
      <c r="J17" s="2" t="inlineStr">
        <is>
          <t>High</t>
        </is>
      </c>
      <c r="K17" s="2" t="inlineStr">
        <is>
          <t>Pending</t>
        </is>
      </c>
      <c r="L17" s="2" t="inlineStr"/>
      <c r="M17" s="2" t="inlineStr"/>
      <c r="N17" s="2" t="inlineStr"/>
    </row>
    <row r="18">
      <c r="A18" s="2" t="inlineStr">
        <is>
          <t>T17</t>
        </is>
      </c>
      <c r="B18" s="2" t="inlineStr">
        <is>
          <t>Automation (Facelift)</t>
        </is>
      </c>
      <c r="C18" s="2" t="inlineStr">
        <is>
          <t>MNAO</t>
        </is>
      </c>
      <c r="D18" s="2" t="inlineStr">
        <is>
          <t>IPM Facelift VIN Update end to end - Only Facelift</t>
        </is>
      </c>
      <c r="E18" s="2" t="inlineStr">
        <is>
          <t>As T15; legacy MNAO match kept (WMI / VDS / VIS, locale filter).</t>
        </is>
      </c>
      <c r="F18" s="2" t="inlineStr">
        <is>
          <t>As T15 with an en-US row in the Excel.</t>
        </is>
      </c>
      <c r="G18" s="2" t="inlineStr">
        <is>
          <t>As T15 on gms3_vc_vin_details (WMI / VDS / VIS of the matched rows replaced).</t>
        </is>
      </c>
      <c r="H18" s="2" t="inlineStr">
        <is>
          <t>MC Dev</t>
        </is>
      </c>
      <c r="I18" s="2" t="inlineStr">
        <is>
          <t>-</t>
        </is>
      </c>
      <c r="J18" s="2" t="inlineStr">
        <is>
          <t>High</t>
        </is>
      </c>
      <c r="K18" s="2" t="inlineStr">
        <is>
          <t>Pending</t>
        </is>
      </c>
      <c r="L18" s="2" t="inlineStr"/>
      <c r="M18" s="2" t="inlineStr"/>
      <c r="N18" s="2" t="inlineStr"/>
    </row>
    <row r="19">
      <c r="A19" s="2" t="inlineStr">
        <is>
          <t>T18</t>
        </is>
      </c>
      <c r="B19" s="2" t="inlineStr">
        <is>
          <t>Automation (Facelift)</t>
        </is>
      </c>
      <c r="C19" s="2" t="inlineStr">
        <is>
          <t>All</t>
        </is>
      </c>
      <c r="D19" s="2" t="inlineStr">
        <is>
          <t>Abort from History + conversion regression</t>
        </is>
      </c>
      <c r="E19" s="2" t="inlineStr">
        <is>
          <t>History abort of an automation job no longer clears gms3_dmt_el_gr_nm_dispord; Schedule.java dead code removed and its per-request fields moved to ThreadLocals (touches the conversion threads too).</t>
        </is>
      </c>
      <c r="F19" s="2" t="inlineStr">
        <is>
          <t>1. Start a conversion, then abort an automation job from History.
2. Run one normal conversion per market.</t>
        </is>
      </c>
      <c r="G19" s="2" t="inlineStr">
        <is>
          <t>Automation job aborted; display-order staging of the running conversion untouched; conversions finish as before with the right user id on the schedule.</t>
        </is>
      </c>
      <c r="H19" s="2" t="inlineStr">
        <is>
          <t>MC Dev</t>
        </is>
      </c>
      <c r="I19" s="2" t="inlineStr">
        <is>
          <t>-</t>
        </is>
      </c>
      <c r="J19" s="2" t="inlineStr">
        <is>
          <t>Medium</t>
        </is>
      </c>
      <c r="K19" s="2" t="inlineStr">
        <is>
          <t>Pending</t>
        </is>
      </c>
      <c r="L19" s="2" t="inlineStr"/>
      <c r="M19" s="2" t="inlineStr"/>
      <c r="N19" s="2" t="inlineStr"/>
    </row>
    <row r="20">
      <c r="A20" s="2" t="inlineStr">
        <is>
          <t>T19</t>
        </is>
      </c>
      <c r="B20" s="2" t="inlineStr">
        <is>
          <t>QA regression</t>
        </is>
      </c>
      <c r="C20" s="2" t="inlineStr">
        <is>
          <t>MC</t>
        </is>
      </c>
      <c r="D20" s="2" t="inlineStr">
        <is>
          <t>Full DMT regression on QA</t>
        </is>
      </c>
      <c r="E20" s="2" t="inlineStr">
        <is>
          <t>DB changes applied on MC QA 2026-10-10 (Job 2 option 2); DMT app not yet tested there.</t>
        </is>
      </c>
      <c r="F20" s="2" t="inlineStr">
        <is>
          <t>Conversion (Master Data with Content + Only content), Publish, Delete, Master Data Syncing, Meta Data Validation, Automation.</t>
        </is>
      </c>
      <c r="G20" s="2" t="inlineStr">
        <is>
          <t>Same results as on MC Dev.</t>
        </is>
      </c>
      <c r="H20" s="2" t="inlineStr">
        <is>
          <t>MC QA</t>
        </is>
      </c>
      <c r="I20" s="2" t="inlineStr">
        <is>
          <t>dmtgt.war deployed on QA with QA properties</t>
        </is>
      </c>
      <c r="J20" s="2" t="inlineStr">
        <is>
          <t>High</t>
        </is>
      </c>
      <c r="K20" s="2" t="inlineStr">
        <is>
          <t>Pending</t>
        </is>
      </c>
      <c r="L20" s="2" t="inlineStr"/>
      <c r="M20" s="2" t="inlineStr"/>
      <c r="N20" s="2" t="inlineStr"/>
    </row>
    <row r="21">
      <c r="A21" s="2" t="inlineStr">
        <is>
          <t>T20</t>
        </is>
      </c>
      <c r="B21" s="2" t="inlineStr">
        <is>
          <t>QA regression</t>
        </is>
      </c>
      <c r="C21" s="2" t="inlineStr">
        <is>
          <t>MME</t>
        </is>
      </c>
      <c r="D21" s="2" t="inlineStr">
        <is>
          <t>Full DMT regression on QA</t>
        </is>
      </c>
      <c r="E21" s="2" t="inlineStr">
        <is>
          <t>As T19.</t>
        </is>
      </c>
      <c r="F21" s="2" t="inlineStr">
        <is>
          <t>As T19.</t>
        </is>
      </c>
      <c r="G21" s="2" t="inlineStr">
        <is>
          <t>As T19.</t>
        </is>
      </c>
      <c r="H21" s="2" t="inlineStr">
        <is>
          <t>MC QA</t>
        </is>
      </c>
      <c r="I21" s="2" t="inlineStr">
        <is>
          <t>As T19</t>
        </is>
      </c>
      <c r="J21" s="2" t="inlineStr">
        <is>
          <t>High</t>
        </is>
      </c>
      <c r="K21" s="2" t="inlineStr">
        <is>
          <t>Pending</t>
        </is>
      </c>
      <c r="L21" s="2" t="inlineStr"/>
      <c r="M21" s="2" t="inlineStr"/>
      <c r="N21" s="2" t="inlineStr"/>
    </row>
    <row r="22">
      <c r="A22" s="2" t="inlineStr">
        <is>
          <t>T21</t>
        </is>
      </c>
      <c r="B22" s="2" t="inlineStr">
        <is>
          <t>QA regression</t>
        </is>
      </c>
      <c r="C22" s="2" t="inlineStr">
        <is>
          <t>MNAO</t>
        </is>
      </c>
      <c r="D22" s="2" t="inlineStr">
        <is>
          <t>Full DMT regression on QA (incl. en-CA companion)</t>
        </is>
      </c>
      <c r="E22" s="2" t="inlineStr">
        <is>
          <t>As T19.</t>
        </is>
      </c>
      <c r="F22" s="2" t="inlineStr">
        <is>
          <t>As T19 + T01-T03.</t>
        </is>
      </c>
      <c r="G22" s="2" t="inlineStr">
        <is>
          <t>As T19.</t>
        </is>
      </c>
      <c r="H22" s="2" t="inlineStr">
        <is>
          <t>MC QA</t>
        </is>
      </c>
      <c r="I22" s="2" t="inlineStr">
        <is>
          <t>As T19</t>
        </is>
      </c>
      <c r="J22" s="2" t="inlineStr">
        <is>
          <t>High</t>
        </is>
      </c>
      <c r="K22" s="2" t="inlineStr">
        <is>
          <t>Pending</t>
        </is>
      </c>
      <c r="L22" s="2" t="inlineStr"/>
      <c r="M22" s="2" t="inlineStr"/>
      <c r="N22" s="2" t="inlineStr"/>
    </row>
    <row r="23">
      <c r="A23" s="2" t="inlineStr">
        <is>
          <t>T22</t>
        </is>
      </c>
      <c r="B23" s="2" t="inlineStr">
        <is>
          <t>Automation (Facelift)</t>
        </is>
      </c>
      <c r="C23" s="2" t="inlineStr">
        <is>
          <t>All</t>
        </is>
      </c>
      <c r="D23" s="2" t="inlineStr">
        <is>
          <t>Facelift folder read - no upload</t>
        </is>
      </c>
      <c r="E23" s="2" t="inlineStr">
        <is>
          <t>New 2026-10-11: every Excel of Facelift_Content (beside MDM) is read instead of an upload.</t>
        </is>
      </c>
      <c r="F23" s="2" t="inlineStr">
        <is>
          <t>1. No Facelift_Content folder / empty folder: open the IPM Facelift VIN Update page.
2. Two Excel files with mixed locales + an open Excel (~$ lock file) in the folder: Validate Data.</t>
        </is>
      </c>
      <c r="G23" s="2" t="inlineStr">
        <is>
          <t>1. 'No Excel file found' message, no Validate button.
2. Both files listed (lock file not), rows of both read and validated; messages name the file and row.</t>
        </is>
      </c>
      <c r="H23" s="2" t="inlineStr">
        <is>
          <t>MC Dev</t>
        </is>
      </c>
      <c r="I23" s="2" t="inlineStr">
        <is>
          <t>-</t>
        </is>
      </c>
      <c r="J23" s="2" t="inlineStr">
        <is>
          <t>High</t>
        </is>
      </c>
      <c r="K23" s="2" t="inlineStr">
        <is>
          <t>Passed</t>
        </is>
      </c>
      <c r="L23" s="2" t="inlineStr">
        <is>
          <t>Local deploy (UI + validation)</t>
        </is>
      </c>
      <c r="M23" s="2" t="inlineStr">
        <is>
          <t>2026-10-11</t>
        </is>
      </c>
      <c r="N23" s="2" t="inlineStr">
        <is>
          <t>Validated by the user on the local dmtgt.war.</t>
        </is>
      </c>
    </row>
    <row r="24">
      <c r="A24" s="2" t="inlineStr">
        <is>
          <t>T23</t>
        </is>
      </c>
      <c r="B24" s="2" t="inlineStr">
        <is>
          <t>Automation (Facelift)</t>
        </is>
      </c>
      <c r="C24" s="2" t="inlineStr">
        <is>
          <t>All</t>
        </is>
      </c>
      <c r="D24" s="2" t="inlineStr">
        <is>
          <t>Validation errors</t>
        </is>
      </c>
      <c r="E24" s="2" t="inlineStr">
        <is>
          <t>Validation now against MDM + Kapture (k_categories / k_default_locales) instead of OK_IM.</t>
        </is>
      </c>
      <c r="F24" s="2" t="inlineStr">
        <is>
          <t>Excel with: a blank cell, an unknown locale, an OLD VIN missing in Kapture, an OLD VIN missing in MDM, a NEW VIN in neither MDM / Kapture nor the ALL_VIN file. Then one with more than 10 errors.</t>
        </is>
      </c>
      <c r="G24" s="2" t="inlineStr">
        <is>
          <t>One error per case naming Kapture / MDM, row and file; Identify button not shown. More than 10 errors: text file link.</t>
        </is>
      </c>
      <c r="H24" s="2" t="inlineStr">
        <is>
          <t>MC Dev</t>
        </is>
      </c>
      <c r="I24" s="2" t="inlineStr">
        <is>
          <t>-</t>
        </is>
      </c>
      <c r="J24" s="2" t="inlineStr">
        <is>
          <t>High</t>
        </is>
      </c>
      <c r="K24" s="2" t="inlineStr">
        <is>
          <t>Passed</t>
        </is>
      </c>
      <c r="L24" s="2" t="inlineStr">
        <is>
          <t>Local deploy (UI + validation)</t>
        </is>
      </c>
      <c r="M24" s="2" t="inlineStr">
        <is>
          <t>2026-10-11</t>
        </is>
      </c>
      <c r="N24" s="2" t="inlineStr">
        <is>
          <t>Validated by the user on the local dmtgt.war.</t>
        </is>
      </c>
    </row>
    <row r="25">
      <c r="A25" s="2" t="inlineStr">
        <is>
          <t>T24</t>
        </is>
      </c>
      <c r="B25" s="2" t="inlineStr">
        <is>
          <t>Automation (Facelift)</t>
        </is>
      </c>
      <c r="C25" s="2" t="inlineStr">
        <is>
          <t>All</t>
        </is>
      </c>
      <c r="D25" s="2" t="inlineStr">
        <is>
          <t>New VIN only in the ALL_VIN master data file</t>
        </is>
      </c>
      <c r="E25" s="2" t="inlineStr">
        <is>
          <t>New 2026-10-11: a new VIN range missing in Kapture passes validation when the locale's ALL_VIN file carries it (D rows excluded).</t>
        </is>
      </c>
      <c r="F25" s="2" t="inlineStr">
        <is>
          <t>1. Excel row whose NEW VIN is only in the ALL_VIN file: Validate, Identify.
2. Schedule with Only Facelift.
3. Same range marked D in the ALL_VIN file: Validate.</t>
        </is>
      </c>
      <c r="G25" s="2" t="inlineStr">
        <is>
          <t>1. Validation passes.
2. Refused with 'Only Facelift cannot be scheduled - n new VIN categories are not in Kapture yet'.
3. Validation error for the new VIN.</t>
        </is>
      </c>
      <c r="H25" s="2" t="inlineStr">
        <is>
          <t>MC Dev</t>
        </is>
      </c>
      <c r="I25" s="2" t="inlineStr">
        <is>
          <t>-</t>
        </is>
      </c>
      <c r="J25" s="2" t="inlineStr">
        <is>
          <t>High</t>
        </is>
      </c>
      <c r="K25" s="2" t="inlineStr">
        <is>
          <t>Pending</t>
        </is>
      </c>
      <c r="L25" s="2" t="inlineStr"/>
      <c r="M25" s="2" t="inlineStr"/>
      <c r="N25" s="2" t="inlineStr"/>
    </row>
    <row r="26">
      <c r="A26" s="2" t="inlineStr">
        <is>
          <t>T25</t>
        </is>
      </c>
      <c r="B26" s="2" t="inlineStr">
        <is>
          <t>Automation (Facelift)</t>
        </is>
      </c>
      <c r="C26" s="2" t="inlineStr">
        <is>
          <t>All</t>
        </is>
      </c>
      <c r="D26" s="2" t="inlineStr">
        <is>
          <t>Master Data with Facelift</t>
        </is>
      </c>
      <c r="E26" s="2" t="inlineStr">
        <is>
          <t>New 2026-10-11: the master data of the item locales is loaded at the start of job B (like conversion); choice kept in dc_load_type.</t>
        </is>
      </c>
      <c r="F26" s="2" t="inlineStr">
        <is>
          <t>Continue T24: schedule the same items with Master Data with Facelift.</t>
        </is>
      </c>
      <c r="G26" s="2" t="inlineStr">
        <is>
          <t>Master data loaded first (new VIN category now in Kapture); documents updated with the new VIN and the refreshed model names; master data load / category reports inside the job zip; dc_load_type = MASTER_DATA_WITH_CONTENT.</t>
        </is>
      </c>
      <c r="H26" s="2" t="inlineStr">
        <is>
          <t>MC Dev</t>
        </is>
      </c>
      <c r="I26" s="2" t="inlineStr">
        <is>
          <t>T24</t>
        </is>
      </c>
      <c r="J26" s="2" t="inlineStr">
        <is>
          <t>High</t>
        </is>
      </c>
      <c r="K26" s="2" t="inlineStr">
        <is>
          <t>Pending</t>
        </is>
      </c>
      <c r="L26" s="2" t="inlineStr"/>
      <c r="M26" s="2" t="inlineStr"/>
      <c r="N26" s="2" t="inlineStr"/>
    </row>
    <row r="27">
      <c r="A27" s="2" t="inlineStr">
        <is>
          <t>T26</t>
        </is>
      </c>
      <c r="B27" s="2" t="inlineStr">
        <is>
          <t>Automation (Facelift)</t>
        </is>
      </c>
      <c r="C27" s="2" t="inlineStr">
        <is>
          <t>All</t>
        </is>
      </c>
      <c r="D27" s="2" t="inlineStr">
        <is>
          <t>Publish state kept</t>
        </is>
      </c>
      <c r="E27" s="2" t="inlineStr">
        <is>
          <t>D1: a document whose latest version is Published is updated and published again; a draft stays a draft.</t>
        </is>
      </c>
      <c r="F27" s="2" t="inlineStr">
        <is>
          <t>Include one document with a published latest version and one with a draft latest version in an item; run job B.</t>
        </is>
      </c>
      <c r="G27" s="2" t="inlineStr">
        <is>
          <t>k_article: the published one has a new live version carrying the new VIN; the draft one has a new draft, not published.</t>
        </is>
      </c>
      <c r="H27" s="2" t="inlineStr">
        <is>
          <t>MC Dev</t>
        </is>
      </c>
      <c r="I27" s="2" t="inlineStr">
        <is>
          <t>-</t>
        </is>
      </c>
      <c r="J27" s="2" t="inlineStr">
        <is>
          <t>High</t>
        </is>
      </c>
      <c r="K27" s="2" t="inlineStr">
        <is>
          <t>Passed</t>
        </is>
      </c>
      <c r="L27" s="2" t="inlineStr">
        <is>
          <t>MC Dev 5715</t>
        </is>
      </c>
      <c r="M27" s="2" t="inlineStr">
        <is>
          <t>2026-10-12</t>
        </is>
      </c>
      <c r="N27" s="2" t="inlineStr">
        <is>
          <t>54 published docs re-published, report version 4.0 (read back from k_article), vc_content_status Published; drafts stay Draft (e.g. WD28673 0.3).</t>
        </is>
      </c>
    </row>
    <row r="28">
      <c r="A28" s="2" t="inlineStr">
        <is>
          <t>T27</t>
        </is>
      </c>
      <c r="B28" s="2" t="inlineStr">
        <is>
          <t>Automation (Facelift)</t>
        </is>
      </c>
      <c r="C28" s="2" t="inlineStr">
        <is>
          <t>All</t>
        </is>
      </c>
      <c r="D28" s="2" t="inlineStr">
        <is>
          <t>Failed document keeps the old VIN</t>
        </is>
      </c>
      <c r="E28" s="2" t="inlineStr">
        <is>
          <t>Order per batch: Kapture first, view content only for documents Kapture accepted.</t>
        </is>
      </c>
      <c r="F28" s="2" t="inlineStr">
        <is>
          <t>Make one document fail in Kapture (e.g. locked / checked out by another user) and run job B.</t>
        </is>
      </c>
      <c r="G28" s="2" t="inlineStr">
        <is>
          <t>That document reported with KAPEXP003 / KAPEXP004 and counted as failed; its view content rows keep the OLD VIN; the other documents of the batch updated normally.</t>
        </is>
      </c>
      <c r="H28" s="2" t="inlineStr">
        <is>
          <t>MC Dev</t>
        </is>
      </c>
      <c r="I28" s="2" t="inlineStr">
        <is>
          <t>-</t>
        </is>
      </c>
      <c r="J28" s="2" t="inlineStr">
        <is>
          <t>Medium</t>
        </is>
      </c>
      <c r="K28" s="2" t="inlineStr">
        <is>
          <t>Pending</t>
        </is>
      </c>
      <c r="L28" s="2" t="inlineStr"/>
      <c r="M28" s="2" t="inlineStr"/>
      <c r="N28" s="2" t="inlineStr"/>
    </row>
    <row r="29">
      <c r="A29" s="2" t="inlineStr">
        <is>
          <t>T28</t>
        </is>
      </c>
      <c r="B29" s="2" t="inlineStr">
        <is>
          <t>Schedule page</t>
        </is>
      </c>
      <c r="C29" s="2" t="inlineStr">
        <is>
          <t>All</t>
        </is>
      </c>
      <c r="D29" s="2" t="inlineStr">
        <is>
          <t>Two users on the Schedule page at the same time</t>
        </is>
      </c>
      <c r="E29" s="2" t="inlineStr">
        <is>
          <t>Schedule.java per-request fields (messages, server path, user id) were shared servlet fields - now ThreadLocals.</t>
        </is>
      </c>
      <c r="F29" s="2" t="inlineStr">
        <is>
          <t>Two users (different iv-user) work on the Schedule page at the same time; each schedules a job.</t>
        </is>
      </c>
      <c r="G29" s="2" t="inlineStr">
        <is>
          <t>Each sees their own messages; each schedule carries its own user id.</t>
        </is>
      </c>
      <c r="H29" s="2" t="inlineStr">
        <is>
          <t>MC Dev</t>
        </is>
      </c>
      <c r="I29" s="2" t="inlineStr">
        <is>
          <t>-</t>
        </is>
      </c>
      <c r="J29" s="2" t="inlineStr">
        <is>
          <t>Medium</t>
        </is>
      </c>
      <c r="K29" s="2" t="inlineStr">
        <is>
          <t>Pending</t>
        </is>
      </c>
      <c r="L29" s="2" t="inlineStr"/>
      <c r="M29" s="2" t="inlineStr"/>
      <c r="N29" s="2" t="inlineStr"/>
    </row>
    <row r="30">
      <c r="A30" s="2" t="inlineStr">
        <is>
          <t>T29</t>
        </is>
      </c>
      <c r="B30" s="2" t="inlineStr">
        <is>
          <t>Regression</t>
        </is>
      </c>
      <c r="C30" s="2" t="inlineStr">
        <is>
          <t>All</t>
        </is>
      </c>
      <c r="D30" s="2" t="inlineStr">
        <is>
          <t>InfoManager removal - smoke of every screen</t>
        </is>
      </c>
      <c r="E30" s="2" t="inlineStr">
        <is>
          <t>2026-10-11: infomanager package, build-lib/infomanager and the IM properties removed (all dead code).</t>
        </is>
      </c>
      <c r="F30" s="2" t="inlineStr">
        <is>
          <t>Deploy the new dmtgt.war; open every screen; run one Master Data Syncing and one Meta Data Validation.</t>
        </is>
      </c>
      <c r="G30" s="2" t="inlineStr">
        <is>
          <t>No ClassNotFound / NoClassDefFound in the catalina log; screens and jobs work as before.</t>
        </is>
      </c>
      <c r="H30" s="2" t="inlineStr">
        <is>
          <t>MC Dev</t>
        </is>
      </c>
      <c r="I30" s="2" t="inlineStr">
        <is>
          <t>-</t>
        </is>
      </c>
      <c r="J30" s="2" t="inlineStr">
        <is>
          <t>High</t>
        </is>
      </c>
      <c r="K30" s="2" t="inlineStr">
        <is>
          <t>Pending</t>
        </is>
      </c>
      <c r="L30" s="2" t="inlineStr"/>
      <c r="M30" s="2" t="inlineStr"/>
      <c r="N30" s="2" t="inlineStr"/>
    </row>
    <row r="31">
      <c r="A31" s="2" t="inlineStr">
        <is>
          <t>T30</t>
        </is>
      </c>
      <c r="B31" s="2" t="inlineStr">
        <is>
          <t>Schedule - Conversion Go</t>
        </is>
      </c>
      <c r="C31" s="2" t="inlineStr">
        <is>
          <t>All</t>
        </is>
      </c>
      <c r="D31" s="2" t="inlineStr">
        <is>
          <t>Facelift run confirmation before the conversion records are listed</t>
        </is>
      </c>
      <c r="E31" s="2" t="inlineStr">
        <is>
          <t>New 2026-10-11: order with all three folders = MDM, then Facelift_Content (IPM Facelift VIN Update), then GMS3_Content.</t>
        </is>
      </c>
      <c r="F31" s="2" t="inlineStr">
        <is>
          <t>1. Excel in Facelift_Content: select conversion filters, click Go, answer No.
2. Click Go again, answer Yes.
3. No Excel in Facelift_Content (or no folder): click Go.</t>
        </is>
      </c>
      <c r="G31" s="2" t="inlineStr">
        <is>
          <t>1. Dialog 'Facelift Content found'; No = no records listed, nothing can be scheduled.
2. Records listed as before.
3. No dialog, records listed directly.</t>
        </is>
      </c>
      <c r="H31" s="2" t="inlineStr">
        <is>
          <t>MC Dev</t>
        </is>
      </c>
      <c r="I31" s="2" t="inlineStr">
        <is>
          <t>-</t>
        </is>
      </c>
      <c r="J31" s="2" t="inlineStr">
        <is>
          <t>High</t>
        </is>
      </c>
      <c r="K31" s="2" t="inlineStr">
        <is>
          <t>Passed</t>
        </is>
      </c>
      <c r="L31" s="2" t="inlineStr">
        <is>
          <t>Local deploy (UI)</t>
        </is>
      </c>
      <c r="M31" s="2" t="inlineStr">
        <is>
          <t>2026-10-11</t>
        </is>
      </c>
      <c r="N31" s="2" t="inlineStr">
        <is>
          <t>Validated by the user on the local dmtgt.war.</t>
        </is>
      </c>
    </row>
    <row r="32">
      <c r="A32" s="2" t="inlineStr">
        <is>
          <t>T31</t>
        </is>
      </c>
      <c r="B32" s="2" t="inlineStr">
        <is>
          <t>Automation (Facelift)</t>
        </is>
      </c>
      <c r="C32" s="2" t="inlineStr">
        <is>
          <t>All</t>
        </is>
      </c>
      <c r="D32" s="2" t="inlineStr">
        <is>
          <t>Old VIN ranges made inactive in MDM after a successful job</t>
        </is>
      </c>
      <c r="E32" s="2" t="inlineStr">
        <is>
          <t>New 2026-10-12: a successful job sets mdm_vin_flag = deleted (sync status cleared) for its old VIN ranges; Kapture untouched.</t>
        </is>
      </c>
      <c r="F32" s="2" t="inlineStr">
        <is>
          <t>1. Run a job that ends Success.
2. Run a job with at least one failed document.</t>
        </is>
      </c>
      <c r="G32" s="2" t="inlineStr">
        <is>
          <t>1. OLD_VIN_DEACTIVATION_REPORT.xlsx in the zip (DEACTIVATED, MDM locale shown); the old range no longer active in MDM; old VIN category still in Kapture.
2. No deactivation, no report; log 'the old VIN ranges stay active in MDM'.</t>
        </is>
      </c>
      <c r="H32" s="2" t="inlineStr">
        <is>
          <t>MC Dev</t>
        </is>
      </c>
      <c r="I32" s="2" t="inlineStr">
        <is>
          <t>-</t>
        </is>
      </c>
      <c r="J32" s="2" t="inlineStr">
        <is>
          <t>High</t>
        </is>
      </c>
      <c r="K32" s="2" t="inlineStr">
        <is>
          <t>Passed</t>
        </is>
      </c>
      <c r="L32" s="2" t="inlineStr">
        <is>
          <t>MC Dev 5715</t>
        </is>
      </c>
      <c r="M32" s="2" t="inlineStr">
        <is>
          <t>2026-10-12</t>
        </is>
      </c>
      <c r="N32" s="2" t="inlineStr">
        <is>
          <t>Old range KM___KMY___100001199999 deactivated in MDM (ja-JP, 1 row); OLD_VIN_DEACTIVATION_REPORT.xlsx in the zip; Kapture untouched.</t>
        </is>
      </c>
    </row>
    <row r="33">
      <c r="A33" s="2" t="inlineStr">
        <is>
          <t>T32</t>
        </is>
      </c>
      <c r="B33" s="2" t="inlineStr">
        <is>
          <t>Automation (Facelift)</t>
        </is>
      </c>
      <c r="C33" s="2" t="inlineStr">
        <is>
          <t>All</t>
        </is>
      </c>
      <c r="D33" s="2" t="inlineStr">
        <is>
          <t>Identification job after its items are scheduled - count, remark, View</t>
        </is>
      </c>
      <c r="E33" s="2" t="inlineStr">
        <is>
          <t>New 2026-10-12: the count is kept (legacy reduced it to 0) with a remark naming the update job; View only while an item is left.</t>
        </is>
      </c>
      <c r="F33" s="2" t="inlineStr">
        <is>
          <t>1. Identify, schedule ALL its items in an update job, refresh the job list during and after the job.
2. Identify with 2+ items, schedule ONE, refresh.</t>
        </is>
      </c>
      <c r="G33" s="2" t="inlineStr">
        <is>
          <t>1. TOTAL DOCUMENTS unchanged; REMARKS '&lt;n&gt; documents (&lt;locale&gt; &lt;channel&gt; &lt;model&gt;) processed by MGSS_MDSYNC_...'; no View link. A View clicked on a stale page shows 'No item left to schedule...'.
2. View still shown, lists only the remaining item.</t>
        </is>
      </c>
      <c r="H33" s="2" t="inlineStr">
        <is>
          <t>MC Dev</t>
        </is>
      </c>
      <c r="I33" s="2" t="inlineStr">
        <is>
          <t>-</t>
        </is>
      </c>
      <c r="J33" s="2" t="inlineStr">
        <is>
          <t>Medium</t>
        </is>
      </c>
      <c r="K33" s="2" t="inlineStr">
        <is>
          <t>In Progress</t>
        </is>
      </c>
      <c r="L33" s="2" t="inlineStr">
        <is>
          <t>MC Dev identification job 59 / 5715</t>
        </is>
      </c>
      <c r="M33" s="2" t="inlineStr">
        <is>
          <t>2026-10-12</t>
        </is>
      </c>
      <c r="N33" s="2" t="inlineStr">
        <is>
          <t>Step 1 OK (user): count stayed 820, remark shown, no View link. Step 2 (schedule one of two items) not run yet.</t>
        </is>
      </c>
    </row>
    <row r="34">
      <c r="A34" s="2" t="inlineStr">
        <is>
          <t>T33</t>
        </is>
      </c>
      <c r="B34" s="2" t="inlineStr">
        <is>
          <t>Conversion - display order file</t>
        </is>
      </c>
      <c r="C34" s="2" t="inlineStr">
        <is>
          <t>MC</t>
        </is>
      </c>
      <c r="D34" s="2" t="inlineStr">
        <is>
          <t>delete.txt is ignored (not read as a display order file)</t>
        </is>
      </c>
      <c r="E34" s="2" t="inlineStr">
        <is>
          <t>Fixed 2026-10-12: delete.txt is no longer used; the display order check compared the name with 'delete' only, so delete.txt was read as a display order file. Now: starts with d, ends with .txt, not delete.txt (Schedule screen + conversion).</t>
        </is>
      </c>
      <c r="F34" s="2" t="inlineStr">
        <is>
          <t>1. Put a delete.txt beside vin.txt / d01.txt in a facelift folder.
2. Go, select the row, Schedule; let the job finish.</t>
        </is>
      </c>
      <c r="G34" s="2" t="inlineStr">
        <is>
          <t>Row accepted (no 'cannot be selected'); display order rows saved = d01.txt lines only; DISPLAY_ORDER / CD reports list d01.txt / CD00.txt only; delete.txt nowhere in reports; job Success.</t>
        </is>
      </c>
      <c r="H34" s="2" t="inlineStr">
        <is>
          <t>MC Dev</t>
        </is>
      </c>
      <c r="I34" s="2" t="inlineStr">
        <is>
          <t>-</t>
        </is>
      </c>
      <c r="J34" s="2" t="inlineStr">
        <is>
          <t>Medium</t>
        </is>
      </c>
      <c r="K34" s="2" t="inlineStr">
        <is>
          <t>Passed</t>
        </is>
      </c>
      <c r="L34" s="2" t="inlineStr">
        <is>
          <t>MC Dev 5729</t>
        </is>
      </c>
      <c r="M34" s="2" t="inlineStr">
        <is>
          <t>2026-10-12</t>
        </is>
      </c>
      <c r="N34" s="2" t="inlineStr">
        <is>
          <t>ja-JP NewM_familia_van_ncp WM FL0001 with delete.txt in the folder: scheduled without error; 2,778 display order rows saved = d01.txt lines exactly (CD 2,778 from CD00.txt); DISPLAY_ORDER + CD reports 11/11 SUCCESS, d01.txt / CD00.txt only; TRANSACTION 11 SUCCESS, VIEW_CONTENT 22 SUCCESS; delete.txt in no report; 0 ERROR lines; preview 11 docs; job Success.</t>
        </is>
      </c>
    </row>
    <row r="35">
      <c r="A35" s="2" t="inlineStr">
        <is>
          <t>T34</t>
        </is>
      </c>
      <c r="B35" s="2" t="inlineStr">
        <is>
          <t>Conversion - display order file</t>
        </is>
      </c>
      <c r="C35" s="2" t="inlineStr">
        <is>
          <t>MME / MNAO</t>
        </is>
      </c>
      <c r="D35" s="2" t="inlineStr">
        <is>
          <t>delete.txt is ignored (not read as a display order file)</t>
        </is>
      </c>
      <c r="E35" s="2" t="inlineStr">
        <is>
          <t>Same fix in StartMMEConversionImpl / StartConversionMNAOImpl; run on MC only (T33).</t>
        </is>
      </c>
      <c r="F35" s="2" t="inlineStr">
        <is>
          <t>As T33 with an MME and an MNAO item.</t>
        </is>
      </c>
      <c r="G35" s="2" t="inlineStr">
        <is>
          <t>As T33.</t>
        </is>
      </c>
      <c r="H35" s="2" t="inlineStr">
        <is>
          <t>MC Dev</t>
        </is>
      </c>
      <c r="I35" s="2" t="inlineStr">
        <is>
          <t>-</t>
        </is>
      </c>
      <c r="J35" s="2" t="inlineStr">
        <is>
          <t>Low</t>
        </is>
      </c>
      <c r="K35" s="2" t="inlineStr">
        <is>
          <t>Pending</t>
        </is>
      </c>
      <c r="L35" s="2" t="inlineStr"/>
      <c r="M35" s="2" t="inlineStr"/>
      <c r="N35" s="2" t="inlineStr"/>
    </row>
    <row r="36">
      <c r="A36" s="2" t="inlineStr">
        <is>
          <t>T35</t>
        </is>
      </c>
      <c r="B36" s="2" t="inlineStr">
        <is>
          <t>Settings page</t>
        </is>
      </c>
      <c r="C36" s="2" t="inlineStr">
        <is>
          <t>All</t>
        </is>
      </c>
      <c r="D36" s="2" t="inlineStr">
        <is>
          <t>Content Provision Guide + Download PDF</t>
        </is>
      </c>
      <c r="E36" s="2" t="inlineStr">
        <is>
          <t>New 2026-10-12: 10-tab guide under the network path; PDF (cover + contents with page numbers, page footer) shipped in the war.</t>
        </is>
      </c>
      <c r="F36" s="2" t="inlineStr">
        <is>
          <t>1. Open Settings, click through all tabs, reload (last tab kept).
2. Click Download PDF.</t>
        </is>
      </c>
      <c r="G36" s="2" t="inlineStr">
        <is>
          <t>Tabs switch, content readable; PDF downloads with contents, page numbers, links and bookmarks.</t>
        </is>
      </c>
      <c r="H36" s="2" t="inlineStr">
        <is>
          <t>Local + MC Dev</t>
        </is>
      </c>
      <c r="I36" s="2" t="inlineStr">
        <is>
          <t>-</t>
        </is>
      </c>
      <c r="J36" s="2" t="inlineStr">
        <is>
          <t>Low</t>
        </is>
      </c>
      <c r="K36" s="2" t="inlineStr">
        <is>
          <t>Passed</t>
        </is>
      </c>
      <c r="L36" s="2" t="inlineStr">
        <is>
          <t>Local + MC Dev deploy</t>
        </is>
      </c>
      <c r="M36" s="2" t="inlineStr">
        <is>
          <t>2026-10-12</t>
        </is>
      </c>
      <c r="N36" s="2" t="inlineStr">
        <is>
          <t>Validated by the user on both deployments: guide tabs and PDF download (v2 with contents page numbers and footer).</t>
        </is>
      </c>
    </row>
    <row r="37">
      <c r="A37" s="2" t="inlineStr">
        <is>
          <t>T36</t>
        </is>
      </c>
      <c r="B37" s="2" t="inlineStr">
        <is>
          <t>Conversion - library paths sent to Kapture</t>
        </is>
      </c>
      <c r="C37" s="2" t="inlineStr">
        <is>
          <t>MC / MME / MNAO</t>
        </is>
      </c>
      <c r="D37" s="2" t="inlineStr">
        <is>
          <t>/content/ prefix on every /library/ path DMT sends to Kapture</t>
        </is>
      </c>
      <c r="E37" s="2" t="inlineStr">
        <is>
          <t>New 2026-10-13 (same rule as Job 10): kapture.library.path.context=/content. KaptureArticleBuilder prefixes HTML5_UPLOAD_DIRECTORY, DJVU_FILE_LOCATION, OASIS_FILE_LOCATION, OEM_FILE_LOCATION and every src / href starting /library/ in the HTML (img, a, link, embed). DMT tables + preview keep /library/.</t>
        </is>
      </c>
      <c r="F37" s="2" t="inlineStr">
        <is>
          <t>1. Deploy the war with kapture.library.path.context=/content in application.properties.
2. Run one conversion per market: MC SM (with images + a PDF link), MME WD HTML5, MNAO WD HTML5 / DJVU (new layout), an OSM item, and an MC OEM item.
3. In Kapture open each document (or /latest-article) and check the path attributes and the img src / a href.
4. Open the documents in the Kapture viewer.</t>
        </is>
      </c>
      <c r="G37" s="2" t="inlineStr">
        <is>
          <t>Every library path reads /content/library/MAZDA/...; WD MNAO paths keep .../&lt;model&gt;/&lt;manual type&gt;/&lt;facelift&gt;/&lt;material&gt;/...; nothing is /content/content/; links to other documents (index?page=...) unchanged; images, PDFs and HTML5 / DJVU open.</t>
        </is>
      </c>
      <c r="H37" s="2" t="inlineStr">
        <is>
          <t>MC Dev</t>
        </is>
      </c>
      <c r="I37" s="2" t="inlineStr">
        <is>
          <t>-</t>
        </is>
      </c>
      <c r="J37" s="2" t="inlineStr">
        <is>
          <t>High</t>
        </is>
      </c>
      <c r="K37" s="2" t="inlineStr">
        <is>
          <t>Pending</t>
        </is>
      </c>
      <c r="L37" s="2" t="inlineStr"/>
      <c r="M37" s="2" t="inlineStr"/>
      <c r="N37" s="2" t="inlineStr"/>
    </row>
    <row r="38">
      <c r="A38" s="2" t="inlineStr">
        <is>
          <t>T37</t>
        </is>
      </c>
      <c r="B38" s="2" t="inlineStr">
        <is>
          <t>Conversion - display order / CD cleanup</t>
        </is>
      </c>
      <c r="C38" s="2" t="inlineStr">
        <is>
          <t>MC</t>
        </is>
      </c>
      <c r="D38" s="2" t="inlineStr">
        <is>
          <t>Documents no longer in the display order (or CD file) lose their view content (CD data)</t>
        </is>
      </c>
      <c r="E38" s="2" t="inlineStr">
        <is>
          <t>New 2026-10-13/14: for the vin.txt material folders of the item, ACTIVE documents the display order files do not list lose their view content (CD: CD data). A document converted again lost it already in the document step - recorded (ClearedDisplayData) so it is reported too. Report: new OPERATION column (INSERT / DELETE). Preview NOT changed.</t>
        </is>
      </c>
      <c r="F38" s="2" t="inlineStr">
        <is>
          <t>1. Run the familia item with the full d01.txt.
2. Remove some PDF and HTML lines from d01.txt and re-run.
3. Remove one more PDF and one more HTML line and re-run.</t>
        </is>
      </c>
      <c r="G38" s="2" t="inlineStr">
        <is>
          <t>Run 2/3: the removed documents = DISPLAY_ORDER.xlsx rows OPERATION DELETE, STATUS SUCCESS, remark 'VIEW CONTENT DELETED - DOCUMENT IS NOT IN THE DISPLAY ORDER FILE.'; log 'cleared by the document step and not re-created'; no view content rows left; they stay in the preview WITHOUT tree; documents dropped in an earlier run are not reported again.</t>
        </is>
      </c>
      <c r="H38" s="2" t="inlineStr">
        <is>
          <t>MC Dev</t>
        </is>
      </c>
      <c r="I38" s="2" t="inlineStr">
        <is>
          <t>-</t>
        </is>
      </c>
      <c r="J38" s="2" t="inlineStr">
        <is>
          <t>High</t>
        </is>
      </c>
      <c r="K38" s="2" t="inlineStr">
        <is>
          <t>Passed</t>
        </is>
      </c>
      <c r="L38" s="2" t="inlineStr">
        <is>
          <t>MC Dev 5736-5741</t>
        </is>
      </c>
      <c r="M38" s="2" t="inlineStr">
        <is>
          <t>2026-10-14</t>
        </is>
      </c>
      <c r="N38" s="2" t="inlineStr">
        <is>
          <t>familia NewM_familia_van_ncp WM FL0001: 5739 (option A war) reported SM231910, SM231920 (PDF) + SM231261 (HTML) as DELETE / SUCCESS ('cleared by the document step and not re-created'); 5740 / 5741 did not report them again (no view content left); preview after the revert shows dropped documents without tree. CD: no CD lines removed, 'all in the CD files'.</t>
        </is>
      </c>
    </row>
    <row r="39">
      <c r="A39" s="2" t="inlineStr">
        <is>
          <t>T38</t>
        </is>
      </c>
      <c r="B39" s="2" t="inlineStr">
        <is>
          <t>Conversion - view content status</t>
        </is>
      </c>
      <c r="C39" s="2" t="inlineStr">
        <is>
          <t>MC</t>
        </is>
      </c>
      <c r="D39" s="2" t="inlineStr">
        <is>
          <t>Listed but not converted document keeps its published view content status</t>
        </is>
      </c>
      <c r="E39" s="2" t="inlineStr">
        <is>
          <t>New 2026-10-14: VC_CONTENT_STATUS follows the DMT document's published flag (ViewContentStatus) instead of always Draft.</t>
        </is>
      </c>
      <c r="F39" s="2" t="inlineStr">
        <is>
          <t>1. Publish a familia PDF document.
2. Remove its source file, keep its line in d01.txt, re-run the item.
3. Query gms3_vc_japan_vin_details for the document.</t>
        </is>
      </c>
      <c r="G39" s="2" t="inlineStr">
        <is>
          <t>Document not in the preview, no DELETE row, INSERT SUCCESS in DISPLAY_ORDER.xlsx; its view content rows VC_CONTENT_STATUS = Published (Draft while it was unpublished).</t>
        </is>
      </c>
      <c r="H39" s="2" t="inlineStr">
        <is>
          <t>MC Dev</t>
        </is>
      </c>
      <c r="I39" s="2" t="inlineStr">
        <is>
          <t>-</t>
        </is>
      </c>
      <c r="J39" s="2" t="inlineStr">
        <is>
          <t>High</t>
        </is>
      </c>
      <c r="K39" s="2" t="inlineStr">
        <is>
          <t>Passed</t>
        </is>
      </c>
      <c r="L39" s="2" t="inlineStr">
        <is>
          <t>MC Dev 5741 / 5742 / 5743</t>
        </is>
      </c>
      <c r="M39" s="2" t="inlineStr">
        <is>
          <t>2026-10-14</t>
        </is>
      </c>
      <c r="N39" s="2" t="inlineStr">
        <is>
          <t>SM231917 (J_DTSNAMELIST_4.pdf, source removed, kept in d01.txt): 5741 view content Draft (unpublished); published by 5742 from 5739 (0.6 -&gt; 1.0); 5743 re-run: not in preview, INSERT SUCCESS, view content 2 rows Published (user query).</t>
        </is>
      </c>
    </row>
    <row r="40">
      <c r="A40" s="2" t="inlineStr">
        <is>
          <t>T39</t>
        </is>
      </c>
      <c r="B40" s="2" t="inlineStr">
        <is>
          <t>Conversion - display order / CD cleanup + view content status</t>
        </is>
      </c>
      <c r="C40" s="2" t="inlineStr">
        <is>
          <t>MME / MNAO</t>
        </is>
      </c>
      <c r="D40" s="2" t="inlineStr">
        <is>
          <t>T37 + T38 for MME (view content + CD) and MNAO (view content model year + VIN, no CD)</t>
        </is>
      </c>
      <c r="E40" s="2" t="inlineStr">
        <is>
          <t>Same code wired into StartMMEConversionImpl / StartConversionMNAOImpl and their DAOs; run on MC only (T37, T38).</t>
        </is>
      </c>
      <c r="F40" s="2" t="inlineStr">
        <is>
          <t>As T37 and T38 with an MME and an MNAO item.</t>
        </is>
      </c>
      <c r="G40" s="2" t="inlineStr">
        <is>
          <t>As T37 / T38 (MNAO: both gms3_vc_model_year_details and gms3_vc_vin_details).</t>
        </is>
      </c>
      <c r="H40" s="2" t="inlineStr">
        <is>
          <t>MC Dev</t>
        </is>
      </c>
      <c r="I40" s="2" t="inlineStr">
        <is>
          <t>T37, T38</t>
        </is>
      </c>
      <c r="J40" s="2" t="inlineStr">
        <is>
          <t>Medium</t>
        </is>
      </c>
      <c r="K40" s="2" t="inlineStr">
        <is>
          <t>Passed</t>
        </is>
      </c>
      <c r="L40" s="2" t="inlineStr">
        <is>
          <t>Accepted on the MC result (T37 / T38)</t>
        </is>
      </c>
      <c r="M40" s="2" t="inlineStr">
        <is>
          <t>2026-10-14</t>
        </is>
      </c>
      <c r="N40" s="2" t="inlineStr">
        <is>
          <t>Closed by the user without a separate run: MME and MNAO use the same shared code (UnlistedDisplayData, ClearedDisplayData, ViewContentStatus) - MC result accepted for both.</t>
        </is>
      </c>
    </row>
  </sheetData>
  <autoFilter ref="A1:N40"/>
  <conditionalFormatting sqref="A2:N40">
    <cfRule type="expression" priority="1" dxfId="0">
      <formula>$K2="Passed"</formula>
    </cfRule>
    <cfRule type="expression" priority="2" dxfId="1">
      <formula>$K2="Failed"</formula>
    </cfRule>
    <cfRule type="expression" priority="3" dxfId="2">
      <formula>$K2="Blocked"</formula>
    </cfRule>
    <cfRule type="expression" priority="4" dxfId="3">
      <formula>$K2="In Progress"</formula>
    </cfRule>
    <cfRule type="expression" priority="5" dxfId="4">
      <formula>$K2="Not Applicable"</formula>
    </cfRule>
  </conditionalFormatting>
  <dataValidations count="1">
    <dataValidation sqref="K2:K40" showDropDown="0" showInputMessage="0" showErrorMessage="0" allowBlank="0" type="list">
      <formula1>"Pending,In Progress,Passed,Failed,Blocked,Not Applicable"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3" t="inlineStr">
        <is>
          <t>Status</t>
        </is>
      </c>
      <c r="B1" s="3" t="inlineStr">
        <is>
          <t>Count</t>
        </is>
      </c>
    </row>
    <row r="2">
      <c r="A2" s="4" t="inlineStr">
        <is>
          <t>Pending</t>
        </is>
      </c>
      <c r="B2" s="4">
        <f>COUNTIF('Pending Tests'!K:K,"Pending")</f>
        <v/>
      </c>
    </row>
    <row r="3">
      <c r="A3" s="4" t="inlineStr">
        <is>
          <t>In Progress</t>
        </is>
      </c>
      <c r="B3" s="4">
        <f>COUNTIF('Pending Tests'!K:K,"In Progress")</f>
        <v/>
      </c>
    </row>
    <row r="4">
      <c r="A4" s="4" t="inlineStr">
        <is>
          <t>Passed</t>
        </is>
      </c>
      <c r="B4" s="4">
        <f>COUNTIF('Pending Tests'!K:K,"Passed")</f>
        <v/>
      </c>
    </row>
    <row r="5">
      <c r="A5" s="4" t="inlineStr">
        <is>
          <t>Failed</t>
        </is>
      </c>
      <c r="B5" s="4">
        <f>COUNTIF('Pending Tests'!K:K,"Failed")</f>
        <v/>
      </c>
    </row>
    <row r="6">
      <c r="A6" s="4" t="inlineStr">
        <is>
          <t>Blocked</t>
        </is>
      </c>
      <c r="B6" s="4">
        <f>COUNTIF('Pending Tests'!K:K,"Blocked")</f>
        <v/>
      </c>
    </row>
    <row r="7">
      <c r="A7" s="4" t="inlineStr">
        <is>
          <t>Not Applicable</t>
        </is>
      </c>
      <c r="B7" s="4">
        <f>COUNTIF('Pending Tests'!K:K,"Not Applicable")</f>
        <v/>
      </c>
    </row>
    <row r="8">
      <c r="A8" s="4" t="inlineStr">
        <is>
          <t>Total</t>
        </is>
      </c>
      <c r="B8" s="4">
        <f>SUM(B2:B7)</f>
        <v/>
      </c>
    </row>
    <row r="9">
      <c r="A9" s="4" t="n"/>
      <c r="B9" s="4" t="n"/>
    </row>
    <row r="10">
      <c r="A10" s="3" t="inlineStr">
        <is>
          <t>Area</t>
        </is>
      </c>
      <c r="B10" s="3" t="inlineStr">
        <is>
          <t>Open (not Passed / Not Applicable)</t>
        </is>
      </c>
    </row>
    <row r="11">
      <c r="A11" s="4" t="inlineStr">
        <is>
          <t>Master Data with Content</t>
        </is>
      </c>
      <c r="B11" s="4">
        <f>COUNTIFS('Pending Tests'!B:B,"Master Data with Content",'Pending Tests'!K:K,"&lt;&gt;Passed",'Pending Tests'!K:K,"&lt;&gt;Not Applicable")</f>
        <v/>
      </c>
    </row>
    <row r="12">
      <c r="A12" s="4" t="inlineStr">
        <is>
          <t>Schedule - Only content check</t>
        </is>
      </c>
      <c r="B12" s="4">
        <f>COUNTIFS('Pending Tests'!B:B,"Schedule - Only content check",'Pending Tests'!K:K,"&lt;&gt;Passed",'Pending Tests'!K:K,"&lt;&gt;Not Applicable")</f>
        <v/>
      </c>
    </row>
    <row r="13">
      <c r="A13" s="4" t="inlineStr">
        <is>
          <t>Conversion re-test</t>
        </is>
      </c>
      <c r="B13" s="4">
        <f>COUNTIFS('Pending Tests'!B:B,"Conversion re-test",'Pending Tests'!K:K,"&lt;&gt;Passed",'Pending Tests'!K:K,"&lt;&gt;Not Applicable")</f>
        <v/>
      </c>
    </row>
    <row r="14">
      <c r="A14" s="4" t="inlineStr">
        <is>
          <t>Conversion - ESI</t>
        </is>
      </c>
      <c r="B14" s="4">
        <f>COUNTIFS('Pending Tests'!B:B,"Conversion - ESI",'Pending Tests'!K:K,"&lt;&gt;Passed",'Pending Tests'!K:K,"&lt;&gt;Not Applicable")</f>
        <v/>
      </c>
    </row>
    <row r="15">
      <c r="A15" s="4" t="inlineStr">
        <is>
          <t>Preview</t>
        </is>
      </c>
      <c r="B15" s="4">
        <f>COUNTIFS('Pending Tests'!B:B,"Preview",'Pending Tests'!K:K,"&lt;&gt;Passed",'Pending Tests'!K:K,"&lt;&gt;Not Applicable")</f>
        <v/>
      </c>
    </row>
    <row r="16">
      <c r="A16" s="4" t="inlineStr">
        <is>
          <t>Conversion - WD</t>
        </is>
      </c>
      <c r="B16" s="4">
        <f>COUNTIFS('Pending Tests'!B:B,"Conversion - WD",'Pending Tests'!K:K,"&lt;&gt;Passed",'Pending Tests'!K:K,"&lt;&gt;Not Applicable")</f>
        <v/>
      </c>
    </row>
    <row r="17">
      <c r="A17" s="4" t="inlineStr">
        <is>
          <t>Conversion - WM</t>
        </is>
      </c>
      <c r="B17" s="4">
        <f>COUNTIFS('Pending Tests'!B:B,"Conversion - WM",'Pending Tests'!K:K,"&lt;&gt;Passed",'Pending Tests'!K:K,"&lt;&gt;Not Applicable")</f>
        <v/>
      </c>
    </row>
    <row r="18">
      <c r="A18" s="4" t="inlineStr">
        <is>
          <t>History</t>
        </is>
      </c>
      <c r="B18" s="4">
        <f>COUNTIFS('Pending Tests'!B:B,"History",'Pending Tests'!K:K,"&lt;&gt;Passed",'Pending Tests'!K:K,"&lt;&gt;Not Applicable")</f>
        <v/>
      </c>
    </row>
    <row r="19">
      <c r="A19" s="4" t="inlineStr">
        <is>
          <t>File behaviour</t>
        </is>
      </c>
      <c r="B19" s="4">
        <f>COUNTIFS('Pending Tests'!B:B,"File behaviour",'Pending Tests'!K:K,"&lt;&gt;Passed",'Pending Tests'!K:K,"&lt;&gt;Not Applicable")</f>
        <v/>
      </c>
    </row>
    <row r="20">
      <c r="A20" s="4" t="inlineStr">
        <is>
          <t>Automation (Facelift)</t>
        </is>
      </c>
      <c r="B20" s="4">
        <f>COUNTIFS('Pending Tests'!B:B,"Automation (Facelift)",'Pending Tests'!K:K,"&lt;&gt;Passed",'Pending Tests'!K:K,"&lt;&gt;Not Applicable")</f>
        <v/>
      </c>
    </row>
    <row r="21">
      <c r="A21" s="4" t="inlineStr">
        <is>
          <t>QA regression</t>
        </is>
      </c>
      <c r="B21" s="4">
        <f>COUNTIFS('Pending Tests'!B:B,"QA regression",'Pending Tests'!K:K,"&lt;&gt;Passed",'Pending Tests'!K:K,"&lt;&gt;Not Applicable")</f>
        <v/>
      </c>
    </row>
    <row r="22">
      <c r="A22" s="4" t="inlineStr">
        <is>
          <t>Schedule page</t>
        </is>
      </c>
      <c r="B22" s="4">
        <f>COUNTIFS('Pending Tests'!B:B,"Schedule page",'Pending Tests'!K:K,"&lt;&gt;Passed",'Pending Tests'!K:K,"&lt;&gt;Not Applicable")</f>
        <v/>
      </c>
    </row>
    <row r="23">
      <c r="A23" s="4" t="inlineStr">
        <is>
          <t>Regression</t>
        </is>
      </c>
      <c r="B23" s="4">
        <f>COUNTIFS('Pending Tests'!B:B,"Regression",'Pending Tests'!K:K,"&lt;&gt;Passed",'Pending Tests'!K:K,"&lt;&gt;Not Applicable")</f>
        <v/>
      </c>
    </row>
    <row r="24">
      <c r="A24" s="4" t="inlineStr">
        <is>
          <t>Schedule - Conversion Go</t>
        </is>
      </c>
      <c r="B24" s="4">
        <f>COUNTIFS('Pending Tests'!B:B,"Schedule - Conversion Go",'Pending Tests'!K:K,"&lt;&gt;Passed",'Pending Tests'!K:K,"&lt;&gt;Not Applicable")</f>
        <v/>
      </c>
    </row>
    <row r="25">
      <c r="A25" s="4" t="inlineStr">
        <is>
          <t>Conversion - display order file</t>
        </is>
      </c>
      <c r="B25" s="4">
        <f>COUNTIFS('Pending Tests'!B:B,"Conversion - display order file",'Pending Tests'!K:K,"&lt;&gt;Passed",'Pending Tests'!K:K,"&lt;&gt;Not Applicable")</f>
        <v/>
      </c>
    </row>
    <row r="26">
      <c r="A26" s="4" t="inlineStr">
        <is>
          <t>Settings page</t>
        </is>
      </c>
      <c r="B26" s="4">
        <f>COUNTIFS('Pending Tests'!B:B,"Settings page",'Pending Tests'!K:K,"&lt;&gt;Passed",'Pending Tests'!K:K,"&lt;&gt;Not Applicable")</f>
        <v/>
      </c>
    </row>
    <row r="27">
      <c r="A27" s="4" t="inlineStr">
        <is>
          <t>Conversion - library paths sent to Kapture</t>
        </is>
      </c>
      <c r="B27" s="4">
        <f>COUNTIFS('Pending Tests'!B:B,"Conversion - library paths sent to Kapture",'Pending Tests'!K:K,"&lt;&gt;Passed",'Pending Tests'!K:K,"&lt;&gt;Not Applicable")</f>
        <v/>
      </c>
    </row>
    <row r="28">
      <c r="A28" s="4" t="inlineStr">
        <is>
          <t>Conversion - display order / CD cleanup</t>
        </is>
      </c>
      <c r="B28" s="4">
        <f>COUNTIFS('Pending Tests'!B:B,"Conversion - display order / CD cleanup",'Pending Tests'!K:K,"&lt;&gt;Passed",'Pending Tests'!K:K,"&lt;&gt;Not Applicable")</f>
        <v/>
      </c>
    </row>
    <row r="29">
      <c r="A29" s="4" t="inlineStr">
        <is>
          <t>Conversion - view content status</t>
        </is>
      </c>
      <c r="B29" s="4">
        <f>COUNTIFS('Pending Tests'!B:B,"Conversion - view content status",'Pending Tests'!K:K,"&lt;&gt;Passed",'Pending Tests'!K:K,"&lt;&gt;Not Applicable")</f>
        <v/>
      </c>
    </row>
    <row r="30">
      <c r="A30" s="4" t="inlineStr">
        <is>
          <t>Conversion - display order / CD cleanup + view content status</t>
        </is>
      </c>
      <c r="B30" s="4">
        <f>COUNTIFS('Pending Tests'!B:B,"Conversion - display order / CD cleanup + view content status",'Pending Tests'!K:K,"&lt;&gt;Passed",'Pending Tests'!K:K,"&lt;&gt;Not Applicable")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60" customWidth="1" min="3" max="3"/>
    <col width="55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Owner</t>
        </is>
      </c>
      <c r="C1" s="1" t="inlineStr">
        <is>
          <t>Item</t>
        </is>
      </c>
      <c r="D1" s="1" t="inlineStr">
        <is>
          <t>What closes it</t>
        </is>
      </c>
      <c r="E1" s="1" t="inlineStr">
        <is>
          <t>Status</t>
        </is>
      </c>
    </row>
    <row r="2">
      <c r="A2" s="2" t="inlineStr">
        <is>
          <t>E01</t>
        </is>
      </c>
      <c r="B2" s="2" t="inlineStr">
        <is>
          <t>Kapture</t>
        </is>
      </c>
      <c r="C2" s="2" t="inlineStr">
        <is>
          <t>Bulk update rollbacks ('Plugin instructed the server to rollback') under load on MC Dev</t>
        </is>
      </c>
      <c r="D2" s="2" t="inlineStr">
        <is>
          <t>Re-run of the affected items shows 0 rollbacks once Kapture deploys the fix.</t>
        </is>
      </c>
      <c r="E2" s="2" t="inlineStr">
        <is>
          <t>Open</t>
        </is>
      </c>
    </row>
    <row r="3">
      <c r="A3" s="2" t="inlineStr">
        <is>
          <t>E02</t>
        </is>
      </c>
      <c r="B3" s="2" t="inlineStr">
        <is>
          <t>Kapture</t>
        </is>
      </c>
      <c r="C3" s="2" t="inlineStr">
        <is>
          <t>4 locked WD docs (aborted run 5511) + 11 PDFs refused</t>
        </is>
      </c>
      <c r="D3" s="2" t="inlineStr">
        <is>
          <t>Re-run the MC item after Kapture clears them; docs created.</t>
        </is>
      </c>
      <c r="E3" s="2" t="inlineStr">
        <is>
          <t>Open</t>
        </is>
      </c>
    </row>
    <row r="4">
      <c r="A4" s="2" t="inlineStr">
        <is>
          <t>E03</t>
        </is>
      </c>
      <c r="B4" s="2" t="inlineStr">
        <is>
          <t>Kapture</t>
        </is>
      </c>
      <c r="C4" s="2" t="inlineStr">
        <is>
          <t>Publish ~6.9 s/doc, bulk update ~2.3 s/doc; is parallel publish safe?</t>
        </is>
      </c>
      <c r="D4" s="2" t="inlineStr">
        <is>
          <t>Answer from Kapture; timing re-check if they change anything.</t>
        </is>
      </c>
      <c r="E4" s="2" t="inlineStr">
        <is>
          <t>Open</t>
        </is>
      </c>
    </row>
    <row r="5">
      <c r="A5" s="2" t="inlineStr">
        <is>
          <t>E04</t>
        </is>
      </c>
      <c r="B5" s="2" t="inlineStr">
        <is>
          <t>Infra</t>
        </is>
      </c>
      <c r="C5" s="2" t="inlineStr">
        <is>
          <t>rsync -&gt; Syncthing on /s3kapture</t>
        </is>
      </c>
      <c r="D5" s="2" t="inlineStr">
        <is>
          <t>Unblocks T14.</t>
        </is>
      </c>
      <c r="E5" s="2" t="inlineStr">
        <is>
          <t>Open</t>
        </is>
      </c>
    </row>
    <row r="6">
      <c r="A6" s="2" t="inlineStr">
        <is>
          <t>E05</t>
        </is>
      </c>
      <c r="B6" s="2" t="inlineStr">
        <is>
          <t>Business data</t>
        </is>
      </c>
      <c r="C6" s="2" t="inlineStr">
        <is>
          <t>ENT &lt;Revision Year/Month/Day&gt; tags malformed (SAX error in log, CX-5 ENTs)</t>
        </is>
      </c>
      <c r="D6" s="2" t="inlineStr">
        <is>
          <t>Kept in the log on purpose as the marker; business fixes the tags.</t>
        </is>
      </c>
      <c r="E6" s="2" t="inlineStr">
        <is>
          <t>Open</t>
        </is>
      </c>
    </row>
    <row r="7">
      <c r="A7" s="2" t="inlineStr">
        <is>
          <t>E06</t>
        </is>
      </c>
      <c r="B7" s="2" t="inlineStr">
        <is>
          <t>Business data</t>
        </is>
      </c>
      <c r="C7" s="2" t="inlineStr">
        <is>
          <t>Voltage JS paths without FL folder; Hybrid carline KB*C3 vs KBAC3; ESI 409 names</t>
        </is>
      </c>
      <c r="D7" s="2" t="inlineStr">
        <is>
          <t>Business corrects source content.</t>
        </is>
      </c>
      <c r="E7" s="2" t="inlineStr">
        <is>
          <t>Open</t>
        </is>
      </c>
    </row>
    <row r="8">
      <c r="A8" s="2" t="inlineStr">
        <is>
          <t>E07</t>
        </is>
      </c>
      <c r="B8" s="2" t="inlineStr">
        <is>
          <t>Housekeeping</t>
        </is>
      </c>
      <c r="C8" s="2" t="inlineStr">
        <is>
          <t>Test category ZZDUPTEST01 on SC Dev (42 rows)</t>
        </is>
      </c>
      <c r="D8" s="2" t="inlineStr">
        <is>
          <t>Remove through the Kapture UI or Softclouds (no delete grant).</t>
        </is>
      </c>
      <c r="E8" s="2" t="inlineStr">
        <is>
          <t>Open</t>
        </is>
      </c>
    </row>
  </sheetData>
  <autoFilter ref="A1:E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0" customWidth="1" min="2" max="2"/>
    <col width="45" customWidth="1" min="3" max="3"/>
  </cols>
  <sheetData>
    <row r="1">
      <c r="A1" s="1" t="inlineStr">
        <is>
          <t>ID</t>
        </is>
      </c>
      <c r="B1" s="1" t="inlineStr">
        <is>
          <t>Decision</t>
        </is>
      </c>
      <c r="C1" s="1" t="inlineStr">
        <is>
          <t>Current state</t>
        </is>
      </c>
    </row>
    <row r="2">
      <c r="A2" s="2" t="inlineStr">
        <is>
          <t>O7</t>
        </is>
      </c>
      <c r="B2" s="2" t="inlineStr">
        <is>
          <t>Sanitizer: generic (Job 10 rules) vs legacy per-process cleaning</t>
        </is>
      </c>
      <c r="C2" s="2" t="inlineStr">
        <is>
          <t>Kept generic until decided.</t>
        </is>
      </c>
    </row>
    <row r="3">
      <c r="A3" s="2" t="inlineStr">
        <is>
          <t>D1-D8</t>
        </is>
      </c>
      <c r="B3" s="2" t="inlineStr">
        <is>
          <t>Automation decisions (publish state, Kapture read-back, DMT tables, vc_content_status, missing VIN category, channels, MNAO match, bulk)</t>
        </is>
      </c>
      <c r="C3" s="2" t="inlineStr">
        <is>
          <t>DECIDED 2026-10-11 and built: published stays published, read latest + swap VIN categories only, DMT tables untouched, missing new VIN = validation error unless in the ALL_VIN file, legacy MNAO match, set-based SQL. Load type = option B (dc_load_type).</t>
        </is>
      </c>
    </row>
    <row r="4">
      <c r="A4" s="2" t="inlineStr">
        <is>
          <t>-</t>
        </is>
      </c>
      <c r="B4" s="2" t="inlineStr">
        <is>
          <t>Optional: skip unchanged documents on re-run (content hash); reuse the Kapture login</t>
        </is>
      </c>
      <c r="C4" s="2" t="inlineStr">
        <is>
          <t>User's call.</t>
        </is>
      </c>
    </row>
  </sheetData>
  <autoFilter ref="A1:C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0" customWidth="1" min="2" max="2"/>
    <col width="26" customWidth="1" min="3" max="3"/>
    <col width="12" customWidth="1" min="4" max="4"/>
  </cols>
  <sheetData>
    <row r="1">
      <c r="A1" s="1" t="inlineStr">
        <is>
          <t>Functionality</t>
        </is>
      </c>
      <c r="B1" s="1" t="inlineStr">
        <is>
          <t>Market</t>
        </is>
      </c>
      <c r="C1" s="1" t="inlineStr">
        <is>
          <t>Job IDs</t>
        </is>
      </c>
      <c r="D1" s="1" t="inlineStr">
        <is>
          <t>Closed on</t>
        </is>
      </c>
    </row>
    <row r="2">
      <c r="A2" s="2" t="inlineStr">
        <is>
          <t>MC conversion + publish + delete</t>
        </is>
      </c>
      <c r="B2" s="2" t="inlineStr">
        <is>
          <t>MC</t>
        </is>
      </c>
      <c r="C2" s="2" t="inlineStr">
        <is>
          <t>5546 / 5553 / 5595 / 5602</t>
        </is>
      </c>
      <c r="D2" s="2" t="inlineStr">
        <is>
          <t>2026-10-05</t>
        </is>
      </c>
    </row>
    <row r="3">
      <c r="A3" s="2" t="inlineStr">
        <is>
          <t>MME conversion + publish</t>
        </is>
      </c>
      <c r="B3" s="2" t="inlineStr">
        <is>
          <t>MME</t>
        </is>
      </c>
      <c r="C3" s="2" t="inlineStr">
        <is>
          <t>5603 / 5610 / 5617</t>
        </is>
      </c>
      <c r="D3" s="2" t="inlineStr">
        <is>
          <t>2026-10-05</t>
        </is>
      </c>
    </row>
    <row r="4">
      <c r="A4" s="2" t="inlineStr">
        <is>
          <t>MNAO conversion + publish + delete</t>
        </is>
      </c>
      <c r="B4" s="2" t="inlineStr">
        <is>
          <t>MNAO</t>
        </is>
      </c>
      <c r="C4" s="2" t="inlineStr">
        <is>
          <t>5673 / 5666 / 5680</t>
        </is>
      </c>
      <c r="D4" s="2" t="inlineStr">
        <is>
          <t>2026-10-07</t>
        </is>
      </c>
    </row>
    <row r="5">
      <c r="A5" s="2" t="inlineStr">
        <is>
          <t>Master Data Syncing (InfoManager-free, DB mode, all-locales fill)</t>
        </is>
      </c>
      <c r="B5" s="2" t="inlineStr">
        <is>
          <t>All</t>
        </is>
      </c>
      <c r="C5" s="2" t="inlineStr">
        <is>
          <t>899 / 906 / 913</t>
        </is>
      </c>
      <c r="D5" s="2" t="inlineStr">
        <is>
          <t>2026-10-10</t>
        </is>
      </c>
    </row>
    <row r="6">
      <c r="A6" s="2" t="inlineStr">
        <is>
          <t>MNAO conversion re-test on the new war (Master Data with Content + Only content)</t>
        </is>
      </c>
      <c r="B6" s="2" t="inlineStr">
        <is>
          <t>MNAO</t>
        </is>
      </c>
      <c r="C6" s="2" t="inlineStr">
        <is>
          <t>5687 / 5694</t>
        </is>
      </c>
      <c r="D6" s="2" t="inlineStr">
        <is>
          <t>2026-10-10</t>
        </is>
      </c>
    </row>
    <row r="7">
      <c r="A7" s="2" t="inlineStr">
        <is>
          <t>Label rule aligned between both screens</t>
        </is>
      </c>
      <c r="B7" s="2" t="inlineStr">
        <is>
          <t>MNAO</t>
        </is>
      </c>
      <c r="C7" s="2" t="inlineStr">
        <is>
          <t>5701 / 934</t>
        </is>
      </c>
      <c r="D7" s="2" t="inlineStr">
        <is>
          <t>2026-10-10</t>
        </is>
      </c>
    </row>
    <row r="8">
      <c r="A8" s="2" t="inlineStr">
        <is>
          <t>D01 same refkey in two hierarchies - API = DB behaviour</t>
        </is>
      </c>
      <c r="B8" s="2" t="inlineStr">
        <is>
          <t>MNAO</t>
        </is>
      </c>
      <c r="C8" s="2" t="inlineStr">
        <is>
          <t>SC Dev API test</t>
        </is>
      </c>
      <c r="D8" s="2" t="inlineStr">
        <is>
          <t>2026-10-10</t>
        </is>
      </c>
    </row>
    <row r="9">
      <c r="A9" s="2" t="inlineStr">
        <is>
          <t>Meta Data Validation (all types, all markets)</t>
        </is>
      </c>
      <c r="B9" s="2" t="inlineStr">
        <is>
          <t>All</t>
        </is>
      </c>
      <c r="C9" s="2" t="inlineStr">
        <is>
          <t>605-689</t>
        </is>
      </c>
      <c r="D9" s="2" t="inlineStr">
        <is>
          <t>2026-10-11</t>
        </is>
      </c>
    </row>
  </sheetData>
  <autoFilter ref="A1:D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5" t="inlineStr">
        <is>
          <t>Status</t>
        </is>
      </c>
      <c r="B1" s="5" t="inlineStr">
        <is>
          <t>Meaning</t>
        </is>
      </c>
    </row>
    <row r="2">
      <c r="A2" t="inlineStr">
        <is>
          <t>Pending</t>
        </is>
      </c>
      <c r="B2" t="inlineStr">
        <is>
          <t>Not run yet</t>
        </is>
      </c>
    </row>
    <row r="3">
      <c r="A3" t="inlineStr">
        <is>
          <t>In Progress</t>
        </is>
      </c>
      <c r="B3" t="inlineStr">
        <is>
          <t>Being run</t>
        </is>
      </c>
    </row>
    <row r="4">
      <c r="A4" t="inlineStr">
        <is>
          <t>Passed</t>
        </is>
      </c>
      <c r="B4" t="inlineStr">
        <is>
          <t>Run, expected result seen - fill Job ID / Evidence + Tested on</t>
        </is>
      </c>
    </row>
    <row r="5">
      <c r="A5" t="inlineStr">
        <is>
          <t>Failed</t>
        </is>
      </c>
      <c r="B5" t="inlineStr">
        <is>
          <t>Run, result differs - details in Remarks</t>
        </is>
      </c>
    </row>
    <row r="6">
      <c r="A6" t="inlineStr">
        <is>
          <t>Blocked</t>
        </is>
      </c>
      <c r="B6" t="inlineStr">
        <is>
          <t>Cannot run until the 'Depends on' item is done</t>
        </is>
      </c>
    </row>
    <row r="7">
      <c r="A7" t="inlineStr">
        <is>
          <t>Not Applicable</t>
        </is>
      </c>
      <c r="B7" t="inlineStr">
        <is>
          <t>Dropped by decision - reason in 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2026-10-14T10:48:28Z</dcterms:created>
  <dcterms:modified xmlns:dcterms="http://purl.org/dc/terms/" xmlns:xsi="http://www.w3.org/2001/XMLSchema-instance" xsi:type="dcterms:W3CDTF">2026-10-14T10:48:28Z</dcterms:modified>
</cp:coreProperties>
</file>